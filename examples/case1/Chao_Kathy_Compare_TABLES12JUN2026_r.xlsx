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dc-my.sharepoint.com/personal/iyr4_cdc_gov/Documents/+My_Large_Workspace/OADS/R Convert/New folder/"/>
    </mc:Choice>
  </mc:AlternateContent>
  <xr:revisionPtr revIDLastSave="50" documentId="8_{1CC806A7-0FAB-4523-9ECA-E18C1D571F78}" xr6:coauthVersionLast="47" xr6:coauthVersionMax="47" xr10:uidLastSave="{E98F079C-CEC9-42B8-A25C-EEF345D0CD02}"/>
  <bookViews>
    <workbookView xWindow="-110" yWindow="-110" windowWidth="19420" windowHeight="10300" firstSheet="4" activeTab="8" xr2:uid="{00000000-000D-0000-FFFF-FFFF00000000}"/>
  </bookViews>
  <sheets>
    <sheet name="TABLE1 split est &amp; 95%CI" sheetId="9" r:id="rId1"/>
    <sheet name="SS" sheetId="1" r:id="rId2"/>
    <sheet name="TABLE1" sheetId="2" r:id="rId3"/>
    <sheet name="T1_TEST" sheetId="3" r:id="rId4"/>
    <sheet name="TABLE2" sheetId="4" r:id="rId5"/>
    <sheet name="T2_GRAPH" sheetId="5" r:id="rId6"/>
    <sheet name="T1_TESTS" sheetId="6" r:id="rId7"/>
    <sheet name="OR_WITH_PVALUE" sheetId="7" r:id="rId8"/>
    <sheet name="OVERALL_MODEL_TEST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9" l="1"/>
  <c r="T4" i="9"/>
  <c r="U4" i="9"/>
  <c r="V4" i="9"/>
  <c r="W4" i="9"/>
  <c r="X4" i="9"/>
  <c r="Y4" i="9"/>
  <c r="S6" i="9"/>
  <c r="T6" i="9"/>
  <c r="U6" i="9"/>
  <c r="V6" i="9"/>
  <c r="W6" i="9"/>
  <c r="X6" i="9"/>
  <c r="Y6" i="9"/>
  <c r="S7" i="9"/>
  <c r="T7" i="9"/>
  <c r="U7" i="9"/>
  <c r="V7" i="9"/>
  <c r="W7" i="9"/>
  <c r="X7" i="9"/>
  <c r="Y7" i="9"/>
  <c r="S8" i="9"/>
  <c r="T8" i="9"/>
  <c r="U8" i="9"/>
  <c r="V8" i="9"/>
  <c r="W8" i="9"/>
  <c r="X8" i="9"/>
  <c r="Y8" i="9"/>
  <c r="S9" i="9"/>
  <c r="T9" i="9"/>
  <c r="U9" i="9"/>
  <c r="V9" i="9"/>
  <c r="W9" i="9"/>
  <c r="X9" i="9"/>
  <c r="Y9" i="9"/>
  <c r="S10" i="9"/>
  <c r="T10" i="9"/>
  <c r="U10" i="9"/>
  <c r="V10" i="9"/>
  <c r="W10" i="9"/>
  <c r="X10" i="9"/>
  <c r="Y10" i="9"/>
  <c r="S11" i="9"/>
  <c r="T11" i="9"/>
  <c r="U11" i="9"/>
  <c r="V11" i="9"/>
  <c r="W11" i="9"/>
  <c r="X11" i="9"/>
  <c r="Y11" i="9"/>
  <c r="S13" i="9"/>
  <c r="T13" i="9"/>
  <c r="U13" i="9"/>
  <c r="V13" i="9"/>
  <c r="W13" i="9"/>
  <c r="X13" i="9"/>
  <c r="Y13" i="9"/>
  <c r="S14" i="9"/>
  <c r="T14" i="9"/>
  <c r="U14" i="9"/>
  <c r="V14" i="9"/>
  <c r="W14" i="9"/>
  <c r="X14" i="9"/>
  <c r="Y14" i="9"/>
  <c r="S15" i="9"/>
  <c r="T15" i="9"/>
  <c r="U15" i="9"/>
  <c r="V15" i="9"/>
  <c r="W15" i="9"/>
  <c r="X15" i="9"/>
  <c r="Y15" i="9"/>
  <c r="S16" i="9"/>
  <c r="T16" i="9"/>
  <c r="U16" i="9"/>
  <c r="V16" i="9"/>
  <c r="W16" i="9"/>
  <c r="X16" i="9"/>
  <c r="Y16" i="9"/>
  <c r="W3" i="9"/>
  <c r="X3" i="9"/>
  <c r="Y3" i="9"/>
  <c r="V3" i="9"/>
  <c r="U3" i="9"/>
  <c r="T3" i="9"/>
  <c r="S3" i="9"/>
  <c r="P3" i="2"/>
  <c r="Q3" i="2"/>
  <c r="R3" i="2"/>
  <c r="S3" i="2"/>
  <c r="P4" i="2"/>
  <c r="Q4" i="2"/>
  <c r="R4" i="2"/>
  <c r="S4" i="2"/>
  <c r="P6" i="2"/>
  <c r="Q6" i="2"/>
  <c r="R6" i="2"/>
  <c r="S6" i="2"/>
  <c r="P7" i="2"/>
  <c r="Q7" i="2"/>
  <c r="R7" i="2"/>
  <c r="S7" i="2"/>
  <c r="P8" i="2"/>
  <c r="Q8" i="2"/>
  <c r="R8" i="2"/>
  <c r="S8" i="2"/>
  <c r="P9" i="2"/>
  <c r="Q9" i="2"/>
  <c r="R9" i="2"/>
  <c r="S9" i="2"/>
  <c r="P10" i="2"/>
  <c r="Q10" i="2"/>
  <c r="R10" i="2"/>
  <c r="S10" i="2"/>
  <c r="P11" i="2"/>
  <c r="Q11" i="2"/>
  <c r="R11" i="2"/>
  <c r="S11" i="2"/>
  <c r="P13" i="2"/>
  <c r="Q13" i="2"/>
  <c r="R13" i="2"/>
  <c r="S13" i="2"/>
  <c r="P14" i="2"/>
  <c r="Q14" i="2"/>
  <c r="R14" i="2"/>
  <c r="S14" i="2"/>
  <c r="P15" i="2"/>
  <c r="Q15" i="2"/>
  <c r="R15" i="2"/>
  <c r="S15" i="2"/>
  <c r="P16" i="2"/>
  <c r="Q16" i="2"/>
  <c r="R16" i="2"/>
  <c r="S16" i="2"/>
  <c r="O4" i="2"/>
  <c r="O6" i="2"/>
  <c r="O7" i="2"/>
  <c r="O8" i="2"/>
  <c r="O9" i="2"/>
  <c r="O10" i="2"/>
  <c r="O11" i="2"/>
  <c r="O13" i="2"/>
  <c r="O14" i="2"/>
  <c r="O15" i="2"/>
  <c r="O16" i="2"/>
  <c r="O3" i="2"/>
  <c r="K5" i="8"/>
  <c r="K6" i="8"/>
  <c r="K7" i="8"/>
  <c r="K3" i="8"/>
  <c r="K6" i="7"/>
  <c r="K4" i="7"/>
  <c r="K7" i="7"/>
  <c r="K8" i="7"/>
  <c r="K9" i="7"/>
  <c r="K10" i="7"/>
  <c r="K12" i="7"/>
  <c r="K13" i="7"/>
  <c r="K14" i="7"/>
  <c r="K2" i="7"/>
  <c r="N3" i="6"/>
  <c r="O3" i="6"/>
  <c r="P3" i="6"/>
  <c r="N4" i="6"/>
  <c r="O4" i="6"/>
  <c r="P4" i="6"/>
  <c r="N5" i="6"/>
  <c r="O5" i="6"/>
  <c r="P5" i="6"/>
  <c r="N6" i="6"/>
  <c r="O6" i="6"/>
  <c r="P6" i="6"/>
  <c r="N7" i="6"/>
  <c r="O7" i="6"/>
  <c r="P7" i="6"/>
  <c r="N8" i="6"/>
  <c r="O8" i="6"/>
  <c r="P8" i="6"/>
  <c r="N9" i="6"/>
  <c r="O9" i="6"/>
  <c r="P9" i="6"/>
  <c r="N10" i="6"/>
  <c r="O10" i="6"/>
  <c r="P10" i="6"/>
  <c r="N11" i="6"/>
  <c r="O11" i="6"/>
  <c r="P11" i="6"/>
  <c r="N12" i="6"/>
  <c r="O12" i="6"/>
  <c r="P12" i="6"/>
  <c r="N13" i="6"/>
  <c r="O13" i="6"/>
  <c r="P13" i="6"/>
  <c r="N14" i="6"/>
  <c r="O14" i="6"/>
  <c r="P14" i="6"/>
  <c r="N15" i="6"/>
  <c r="O15" i="6"/>
  <c r="P15" i="6"/>
  <c r="N16" i="6"/>
  <c r="O16" i="6"/>
  <c r="P16" i="6"/>
  <c r="N17" i="6"/>
  <c r="O17" i="6"/>
  <c r="P17" i="6"/>
  <c r="N18" i="6"/>
  <c r="O18" i="6"/>
  <c r="P18" i="6"/>
  <c r="N19" i="6"/>
  <c r="O19" i="6"/>
  <c r="P19" i="6"/>
  <c r="N20" i="6"/>
  <c r="O20" i="6"/>
  <c r="P20" i="6"/>
  <c r="N21" i="6"/>
  <c r="O21" i="6"/>
  <c r="P21" i="6"/>
  <c r="N22" i="6"/>
  <c r="O22" i="6"/>
  <c r="P22" i="6"/>
  <c r="N23" i="6"/>
  <c r="O23" i="6"/>
  <c r="P23" i="6"/>
  <c r="N24" i="6"/>
  <c r="O24" i="6"/>
  <c r="P24" i="6"/>
  <c r="N25" i="6"/>
  <c r="O25" i="6"/>
  <c r="P25" i="6"/>
  <c r="N26" i="6"/>
  <c r="O26" i="6"/>
  <c r="P26" i="6"/>
  <c r="O2" i="6"/>
  <c r="P2" i="6"/>
  <c r="N2" i="6"/>
  <c r="M4" i="5"/>
  <c r="N4" i="5"/>
  <c r="O4" i="5"/>
  <c r="P4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N3" i="5"/>
  <c r="O3" i="5"/>
  <c r="P3" i="5"/>
  <c r="M3" i="5"/>
</calcChain>
</file>

<file path=xl/sharedStrings.xml><?xml version="1.0" encoding="utf-8"?>
<sst xmlns="http://schemas.openxmlformats.org/spreadsheetml/2006/main" count="569" uniqueCount="288">
  <si>
    <t>order</t>
  </si>
  <si>
    <t>lbl</t>
  </si>
  <si>
    <t>frequency</t>
  </si>
  <si>
    <t>SEX</t>
  </si>
  <si>
    <t>MALE</t>
  </si>
  <si>
    <t>FEMALE</t>
  </si>
  <si>
    <t>AGE</t>
  </si>
  <si>
    <t/>
  </si>
  <si>
    <t>18-24</t>
  </si>
  <si>
    <t>25-44</t>
  </si>
  <si>
    <t>45-54</t>
  </si>
  <si>
    <t>55-64</t>
  </si>
  <si>
    <t>65-74</t>
  </si>
  <si>
    <t>RACE_ETH</t>
  </si>
  <si>
    <t>75+</t>
  </si>
  <si>
    <t>WHITE</t>
  </si>
  <si>
    <t>BLACK</t>
  </si>
  <si>
    <t>HISPANIC</t>
  </si>
  <si>
    <t>OTHER</t>
  </si>
  <si>
    <t>row_name</t>
  </si>
  <si>
    <t>nsum1</t>
  </si>
  <si>
    <t>nsum2</t>
  </si>
  <si>
    <t>per_952</t>
  </si>
  <si>
    <t>nsum3</t>
  </si>
  <si>
    <t>per_953</t>
  </si>
  <si>
    <t>96.0(95.7,96.4)</t>
  </si>
  <si>
    <t>4.0(3.6,4.3)</t>
  </si>
  <si>
    <t>94.7(94.4,95.1)</t>
  </si>
  <si>
    <t>5.3(4.9,5.6)</t>
  </si>
  <si>
    <t>99.2(98.7,99.6)</t>
  </si>
  <si>
    <t>0.8(0.4,1.3)</t>
  </si>
  <si>
    <t>98.6(98.3,98.9)</t>
  </si>
  <si>
    <t>1.4(1.1,1.7)</t>
  </si>
  <si>
    <t>96.8(96.3,97.4)</t>
  </si>
  <si>
    <t>3.2(2.6,3.7)</t>
  </si>
  <si>
    <t>92.7(91.9,93.5)</t>
  </si>
  <si>
    <t>7.3(6.5,8.1)</t>
  </si>
  <si>
    <t>90.0(89.0,91.0)</t>
  </si>
  <si>
    <t>10.0(9.0,11.0)</t>
  </si>
  <si>
    <t>88.7(87.4,89.9)</t>
  </si>
  <si>
    <t>11.3(10.1,12.6)</t>
  </si>
  <si>
    <t>94.3(93.9,94.7)</t>
  </si>
  <si>
    <t>5.7(5.3,6.1)</t>
  </si>
  <si>
    <t>95.6(94.9,96.4)</t>
  </si>
  <si>
    <t>4.4(3.6,5.1)</t>
  </si>
  <si>
    <t>98.1(97.6,98.6)</t>
  </si>
  <si>
    <t>1.9(1.4,2.4)</t>
  </si>
  <si>
    <t>97.7(97.1,98.3)</t>
  </si>
  <si>
    <t>2.3(1.7,2.9)</t>
  </si>
  <si>
    <t>var_name</t>
  </si>
  <si>
    <t>stestval</t>
  </si>
  <si>
    <t>sdf</t>
  </si>
  <si>
    <t>spval</t>
  </si>
  <si>
    <t xml:space="preserve">SEX   </t>
  </si>
  <si>
    <t xml:space="preserve">AGE   </t>
  </si>
  <si>
    <t xml:space="preserve">RACE   </t>
  </si>
  <si>
    <t>per_95_1</t>
  </si>
  <si>
    <t>per_95_2</t>
  </si>
  <si>
    <t>percent1</t>
  </si>
  <si>
    <t>sepercent1</t>
  </si>
  <si>
    <t>percent2</t>
  </si>
  <si>
    <t>sepercent2</t>
  </si>
  <si>
    <t>contrast</t>
  </si>
  <si>
    <t>contrast_name</t>
  </si>
  <si>
    <t>percent</t>
  </si>
  <si>
    <t>sepercent</t>
  </si>
  <si>
    <t>p_pct</t>
  </si>
  <si>
    <t>M-F</t>
  </si>
  <si>
    <t>A1-A2</t>
  </si>
  <si>
    <t>A1-A3</t>
  </si>
  <si>
    <t>A1-A4</t>
  </si>
  <si>
    <t>A1-A5</t>
  </si>
  <si>
    <t>A1-A6</t>
  </si>
  <si>
    <t>A2-A3</t>
  </si>
  <si>
    <t>A2-A4</t>
  </si>
  <si>
    <t>A2-A5</t>
  </si>
  <si>
    <t>A2-A6</t>
  </si>
  <si>
    <t>A3-A4</t>
  </si>
  <si>
    <t>A3-A5</t>
  </si>
  <si>
    <t>A3-A6</t>
  </si>
  <si>
    <t>A4-A5</t>
  </si>
  <si>
    <t>A4-A6</t>
  </si>
  <si>
    <t>A5-A6</t>
  </si>
  <si>
    <t>R1-R2</t>
  </si>
  <si>
    <t>R1-R3</t>
  </si>
  <si>
    <t>R1-R4</t>
  </si>
  <si>
    <t>R2-R3</t>
  </si>
  <si>
    <t>R2-R4</t>
  </si>
  <si>
    <t>R3-R4</t>
  </si>
  <si>
    <t>AGE-LINEAR</t>
  </si>
  <si>
    <t>AGE-QUAD</t>
  </si>
  <si>
    <t>WHITE-HISP-CONTRAST</t>
  </si>
  <si>
    <t>DIF-IN-DIF-WH-HISP-SEX-DIFFERENCES</t>
  </si>
  <si>
    <t>WH-HIS-MALE</t>
  </si>
  <si>
    <t>WH-HISP-FEMALE</t>
  </si>
  <si>
    <t>rhs</t>
  </si>
  <si>
    <t>or_95</t>
  </si>
  <si>
    <t>p_beta</t>
  </si>
  <si>
    <t>INTERCEPT</t>
  </si>
  <si>
    <t>0.01(0.01,0.02)</t>
  </si>
  <si>
    <t>1.28(1.13,1.45)</t>
  </si>
  <si>
    <t>18-24 YEARS</t>
  </si>
  <si>
    <t>25-34 YEARS</t>
  </si>
  <si>
    <t>1.68(0.94,3.00)</t>
  </si>
  <si>
    <t>35-44 YEARS</t>
  </si>
  <si>
    <t>3.68(2.08,6.52)</t>
  </si>
  <si>
    <t>44-65 YEARS</t>
  </si>
  <si>
    <t>8.44(4.87,14.64)</t>
  </si>
  <si>
    <t>65-74 YEARS</t>
  </si>
  <si>
    <t>11.61(6.74,20.00)</t>
  </si>
  <si>
    <t>75+ YEARS</t>
  </si>
  <si>
    <t>13.11(7.62,22.55)</t>
  </si>
  <si>
    <t>WHITE, NON-</t>
  </si>
  <si>
    <t>BLACK, NON-</t>
  </si>
  <si>
    <t>0.89(0.72,1.09)</t>
  </si>
  <si>
    <t>0.46(0.36,0.59)</t>
  </si>
  <si>
    <t>OTHER, NON-HISP</t>
  </si>
  <si>
    <t>0.48(0.36,0.64)</t>
  </si>
  <si>
    <t>waldchi</t>
  </si>
  <si>
    <t>waldchp</t>
  </si>
  <si>
    <t>OVERALL MODEL</t>
  </si>
  <si>
    <t>MODEL MINUS INTERCEPT</t>
  </si>
  <si>
    <t>RACE_ETHNICITY</t>
  </si>
  <si>
    <t>ORDER</t>
  </si>
  <si>
    <t>LBL</t>
  </si>
  <si>
    <t>FREQUENCY</t>
  </si>
  <si>
    <t>ROW_NAME</t>
  </si>
  <si>
    <t>NSUM1</t>
  </si>
  <si>
    <t>NSUM2</t>
  </si>
  <si>
    <t>PER_952</t>
  </si>
  <si>
    <t>NSUM3</t>
  </si>
  <si>
    <t>PER_953</t>
  </si>
  <si>
    <t xml:space="preserve">     0</t>
  </si>
  <si>
    <t>95.4(95.1,95.6)</t>
  </si>
  <si>
    <t xml:space="preserve"> 4.6( 4.4, 4.9)</t>
  </si>
  <si>
    <t xml:space="preserve"> 4.0( 3.6, 4.3)</t>
  </si>
  <si>
    <t>94.7(94.3,95.1)</t>
  </si>
  <si>
    <t xml:space="preserve"> 5.3( 4.9, 5.7)</t>
  </si>
  <si>
    <t xml:space="preserve"> 18-24</t>
  </si>
  <si>
    <t>99.2(98.6,99.5)</t>
  </si>
  <si>
    <t xml:space="preserve"> 0.8( 0.5, 1.4)</t>
  </si>
  <si>
    <t xml:space="preserve"> 25-44</t>
  </si>
  <si>
    <t>98.6(98.3,98.8)</t>
  </si>
  <si>
    <t xml:space="preserve"> 1.4( 1.2, 1.7)</t>
  </si>
  <si>
    <t xml:space="preserve"> 45-54</t>
  </si>
  <si>
    <t>96.8(96.2,97.4)</t>
  </si>
  <si>
    <t xml:space="preserve"> 3.2( 2.6, 3.8)</t>
  </si>
  <si>
    <t xml:space="preserve"> 55-64</t>
  </si>
  <si>
    <t xml:space="preserve"> 7.3( 6.5, 8.1)</t>
  </si>
  <si>
    <t xml:space="preserve"> 65-74</t>
  </si>
  <si>
    <t>10.0( 9.0,11.0)</t>
  </si>
  <si>
    <t xml:space="preserve"> 75+</t>
  </si>
  <si>
    <t>88.7(87.4,89.8)</t>
  </si>
  <si>
    <t>11.3(10.2,12.6)</t>
  </si>
  <si>
    <t xml:space="preserve">         0</t>
  </si>
  <si>
    <t xml:space="preserve">  WHITE</t>
  </si>
  <si>
    <t>94.3(93.9,94.6)</t>
  </si>
  <si>
    <t xml:space="preserve"> 5.7( 5.4, 6.1)</t>
  </si>
  <si>
    <t xml:space="preserve">  BLACK</t>
  </si>
  <si>
    <t>95.6(94.8,96.4)</t>
  </si>
  <si>
    <t xml:space="preserve"> 4.4( 3.6, 5.2)</t>
  </si>
  <si>
    <t xml:space="preserve">  HISPANIC</t>
  </si>
  <si>
    <t>98.1(97.6,98.5)</t>
  </si>
  <si>
    <t xml:space="preserve"> 1.9( 1.5, 2.4)</t>
  </si>
  <si>
    <t xml:space="preserve">  OTHER</t>
  </si>
  <si>
    <t>97.7(97.1,98.2)</t>
  </si>
  <si>
    <t xml:space="preserve"> 2.3( 1.8, 2.9)</t>
  </si>
  <si>
    <t>VAR_NAME</t>
  </si>
  <si>
    <t>STESTVAL</t>
  </si>
  <si>
    <t>SDF</t>
  </si>
  <si>
    <t>SPVAL</t>
  </si>
  <si>
    <t>RACE</t>
  </si>
  <si>
    <t>PER_95_1</t>
  </si>
  <si>
    <t>PER_95_2</t>
  </si>
  <si>
    <t>PERCENT1</t>
  </si>
  <si>
    <t>SEPERCENT1</t>
  </si>
  <si>
    <t>PERCENT2</t>
  </si>
  <si>
    <t>SEPERCENT2</t>
  </si>
  <si>
    <t>CONTRAST</t>
  </si>
  <si>
    <t>CONTRAST_NAME</t>
  </si>
  <si>
    <t>PERCENT</t>
  </si>
  <si>
    <t>SEPERCENT</t>
  </si>
  <si>
    <t>P_PCT</t>
  </si>
  <si>
    <t>RHS</t>
  </si>
  <si>
    <t>OR_95</t>
  </si>
  <si>
    <t>P_BETA</t>
  </si>
  <si>
    <t xml:space="preserve"> 0.01( 0.01, 0.02)</t>
  </si>
  <si>
    <t xml:space="preserve"> 1.00( 1.00, 1.00)</t>
  </si>
  <si>
    <t xml:space="preserve"> 1.28( 1.13, 1.45)</t>
  </si>
  <si>
    <t xml:space="preserve"> 1.68( 0.94, 3.00)</t>
  </si>
  <si>
    <t xml:space="preserve"> 3.68( 2.08, 6.52)</t>
  </si>
  <si>
    <t xml:space="preserve"> 8.44( 4.87,14.64)</t>
  </si>
  <si>
    <t>11.61( 6.74,20.00)</t>
  </si>
  <si>
    <t>13.11( 7.62,22.55)</t>
  </si>
  <si>
    <t xml:space="preserve"> 0.89( 0.72, 1.09)</t>
  </si>
  <si>
    <t xml:space="preserve"> 0.46( 0.36, 0.59)</t>
  </si>
  <si>
    <t xml:space="preserve"> 0.48( 0.36, 0.64)</t>
  </si>
  <si>
    <t>WALDCHI</t>
  </si>
  <si>
    <t>WALDCHP</t>
  </si>
  <si>
    <t>_RACEGR</t>
  </si>
  <si>
    <t>missing sex</t>
  </si>
  <si>
    <t>REPORTED MISSING SEX</t>
  </si>
  <si>
    <t>Variance Estimation Method: Taylor Series (WR)</t>
  </si>
  <si>
    <t xml:space="preserve">  Test Statistics for Stratum-Specific Hypotheses</t>
  </si>
  <si>
    <t xml:space="preserve">  Variable SEX by Variable COPD</t>
  </si>
  <si>
    <t>by: Hypothesis Test, Test Statistic.</t>
  </si>
  <si>
    <t>------------------------------------------------------------</t>
  </si>
  <si>
    <t>Hypothesis Test                          Test</t>
  </si>
  <si>
    <t xml:space="preserve">   Test Statistic        DF     Adj DF   Value       P-Value</t>
  </si>
  <si>
    <t>CHISQ (Obs - Exp)</t>
  </si>
  <si>
    <t xml:space="preserve">   Wald chi-square        1        .      24.3463     0.0000</t>
  </si>
  <si>
    <t xml:space="preserve">   Adj Wald F             1        .      24.3463     0.0000</t>
  </si>
  <si>
    <t xml:space="preserve">   Satterthwaite-adj</t>
  </si>
  <si>
    <t xml:space="preserve">     chi-sq               1       1.00    24.3463     0.0000</t>
  </si>
  <si>
    <t xml:space="preserve">  Variable AGE by Variable COPD</t>
  </si>
  <si>
    <t xml:space="preserve">   Wald chi-square        5        .     598.0779     0.0000</t>
  </si>
  <si>
    <t xml:space="preserve">   Adj Wald F             5        .     118.8060     0.0000</t>
  </si>
  <si>
    <t xml:space="preserve">     chi-sq               5       4.53   509.7559     0.0000</t>
  </si>
  <si>
    <t xml:space="preserve">  Variable _RACEGR by Variable COPD</t>
  </si>
  <si>
    <t xml:space="preserve">   Wald chi-square        3        .     169.0542     0.0000</t>
  </si>
  <si>
    <t xml:space="preserve">   Adj Wald F             3        .      56.1607     0.0000</t>
  </si>
  <si>
    <t xml:space="preserve">     chi-sq               3       2.94   179.9525     0.0000</t>
  </si>
  <si>
    <t>SUDAAN OUTPUT</t>
  </si>
  <si>
    <t>difference in beta</t>
  </si>
  <si>
    <t>Difference in waldchi</t>
  </si>
  <si>
    <t xml:space="preserve"> 4.6(4.4,4.9)</t>
  </si>
  <si>
    <t xml:space="preserve"> 4.0(3.6,4.3)</t>
  </si>
  <si>
    <t xml:space="preserve"> 5.3(4.9,5.7)</t>
  </si>
  <si>
    <t xml:space="preserve"> 0.8(0.5,1.4)</t>
  </si>
  <si>
    <t xml:space="preserve"> 1.4(1.2,1.7)</t>
  </si>
  <si>
    <t xml:space="preserve"> 3.2(2.6,3.8)</t>
  </si>
  <si>
    <t xml:space="preserve"> 7.3(6.5,8.1)</t>
  </si>
  <si>
    <t xml:space="preserve"> 5.7(5.4,6.1)</t>
  </si>
  <si>
    <t xml:space="preserve"> 4.4(3.6,5.2)</t>
  </si>
  <si>
    <t xml:space="preserve"> 1.9(1.5,2.4)</t>
  </si>
  <si>
    <t xml:space="preserve"> 2.3(1.8,2.9)</t>
  </si>
  <si>
    <t>%</t>
  </si>
  <si>
    <t>SS1</t>
  </si>
  <si>
    <t>SS_ALL</t>
  </si>
  <si>
    <t>%(95CI)no</t>
  </si>
  <si>
    <t>ss2</t>
  </si>
  <si>
    <t>95.7,96.4)</t>
  </si>
  <si>
    <t>94.4,95.1)</t>
  </si>
  <si>
    <t>98.7,99.6)</t>
  </si>
  <si>
    <t>98.3,98.9)</t>
  </si>
  <si>
    <t>96.3,97.4)</t>
  </si>
  <si>
    <t>91.9,93.5)</t>
  </si>
  <si>
    <t>89.0,91.0)</t>
  </si>
  <si>
    <t>87.4,89.9)</t>
  </si>
  <si>
    <t>93.9,94.7)</t>
  </si>
  <si>
    <t>94.9,96.4)</t>
  </si>
  <si>
    <t>97.6,98.6)</t>
  </si>
  <si>
    <t>97.1,98.3)</t>
  </si>
  <si>
    <t>3.6,4.3)</t>
  </si>
  <si>
    <t>4.9,5.6)</t>
  </si>
  <si>
    <t>0.4,1.3)</t>
  </si>
  <si>
    <t>1.1,1.7)</t>
  </si>
  <si>
    <t>2.6,3.7)</t>
  </si>
  <si>
    <t>6.5,8.1)</t>
  </si>
  <si>
    <t>9.0,11.0)</t>
  </si>
  <si>
    <t>10.1,12.6)</t>
  </si>
  <si>
    <t>5.3,6.1)</t>
  </si>
  <si>
    <t>3.6,5.1)</t>
  </si>
  <si>
    <t>1.4,2.4)</t>
  </si>
  <si>
    <t>1.7,2.9)</t>
  </si>
  <si>
    <t>95.1,95.6)</t>
  </si>
  <si>
    <t>94.3,95.1)</t>
  </si>
  <si>
    <t>98.6,99.5)</t>
  </si>
  <si>
    <t>98.3,98.8)</t>
  </si>
  <si>
    <t>96.2,97.4)</t>
  </si>
  <si>
    <t>87.4,89.8)</t>
  </si>
  <si>
    <t>93.9,94.6)</t>
  </si>
  <si>
    <t>94.8,96.4)</t>
  </si>
  <si>
    <t>97.6,98.5)</t>
  </si>
  <si>
    <t>97.1,98.2)</t>
  </si>
  <si>
    <t>4.4,4.9)</t>
  </si>
  <si>
    <t>4.9,5.7)</t>
  </si>
  <si>
    <t>0.5,1.4)</t>
  </si>
  <si>
    <t>1.2,1.7)</t>
  </si>
  <si>
    <t>2.6,3.8)</t>
  </si>
  <si>
    <t>10.2,12.6)</t>
  </si>
  <si>
    <t>5.4,6.1)</t>
  </si>
  <si>
    <t>3.6,5.2)</t>
  </si>
  <si>
    <t>1.5,2.4)</t>
  </si>
  <si>
    <t>1.8,2.9)</t>
  </si>
  <si>
    <t>95%CI</t>
  </si>
  <si>
    <t>SS3</t>
  </si>
  <si>
    <t>%CI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</si>
</sst>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"/>
    <numFmt numFmtId="165" formatCode="0.0000000000"/>
    <numFmt numFmtId="166" formatCode="0.000000000000"/>
    <numFmt numFmtId="167" formatCode="0.000000"/>
    <numFmt numFmtId="168" formatCode="0.000000000"/>
    <numFmt numFmtId="169" formatCode="0.0000000000E+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166" fontId="0" fillId="2" borderId="0" xfId="0" applyNumberFormat="1" applyFill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870D-1902-4C5A-882F-6E41660FE365}">
  <dimension ref="A1:Y16"/>
  <sheetViews>
    <sheetView topLeftCell="E1" workbookViewId="0">
      <selection activeCell="Q13" sqref="Q13"/>
    </sheetView>
  </sheetViews>
  <sheetFormatPr defaultColWidth="10.90625" defaultRowHeight="14.5" x14ac:dyDescent="0.35"/>
  <cols>
    <col min="4" max="4" width="12.54296875" customWidth="1"/>
    <col min="5" max="5" width="11.36328125" customWidth="1"/>
    <col min="7" max="7" width="8.08984375" customWidth="1"/>
    <col min="8" max="8" width="14.90625" customWidth="1"/>
    <col min="9" max="9" width="4.54296875" customWidth="1"/>
    <col min="13" max="13" width="10.26953125" customWidth="1"/>
    <col min="14" max="14" width="13.26953125" customWidth="1"/>
  </cols>
  <sheetData>
    <row r="1" spans="1:25" x14ac:dyDescent="0.35">
      <c r="A1" t="s">
        <v>19</v>
      </c>
      <c r="B1" t="s">
        <v>20</v>
      </c>
      <c r="C1" t="s">
        <v>21</v>
      </c>
      <c r="D1" t="s">
        <v>22</v>
      </c>
      <c r="F1" t="s">
        <v>23</v>
      </c>
      <c r="G1" t="s">
        <v>24</v>
      </c>
      <c r="J1" t="s">
        <v>126</v>
      </c>
      <c r="K1" t="s">
        <v>127</v>
      </c>
      <c r="L1" t="s">
        <v>128</v>
      </c>
      <c r="M1" t="s">
        <v>129</v>
      </c>
      <c r="O1" t="s">
        <v>130</v>
      </c>
      <c r="P1" t="s">
        <v>131</v>
      </c>
      <c r="S1" t="s">
        <v>238</v>
      </c>
      <c r="T1" t="s">
        <v>237</v>
      </c>
      <c r="U1" t="s">
        <v>236</v>
      </c>
      <c r="V1" t="s">
        <v>285</v>
      </c>
      <c r="W1" t="s">
        <v>286</v>
      </c>
      <c r="X1" t="s">
        <v>287</v>
      </c>
      <c r="Y1" t="s">
        <v>285</v>
      </c>
    </row>
    <row r="2" spans="1:25" x14ac:dyDescent="0.35">
      <c r="J2" t="s">
        <v>132</v>
      </c>
      <c r="K2">
        <v>29441</v>
      </c>
      <c r="L2">
        <v>27758</v>
      </c>
      <c r="M2">
        <v>95.4</v>
      </c>
      <c r="N2" t="s">
        <v>265</v>
      </c>
      <c r="O2">
        <v>1683</v>
      </c>
      <c r="P2">
        <v>4.5999999999999996</v>
      </c>
      <c r="Q2" t="s">
        <v>275</v>
      </c>
    </row>
    <row r="3" spans="1:25" x14ac:dyDescent="0.35">
      <c r="A3" t="s">
        <v>4</v>
      </c>
      <c r="B3">
        <v>13363</v>
      </c>
      <c r="C3">
        <v>12694</v>
      </c>
      <c r="D3">
        <v>96</v>
      </c>
      <c r="E3" t="s">
        <v>241</v>
      </c>
      <c r="F3">
        <v>669</v>
      </c>
      <c r="G3">
        <v>4</v>
      </c>
      <c r="H3" t="s">
        <v>253</v>
      </c>
      <c r="J3" t="s">
        <v>4</v>
      </c>
      <c r="K3">
        <v>13363</v>
      </c>
      <c r="L3">
        <v>12694</v>
      </c>
      <c r="M3">
        <v>96</v>
      </c>
      <c r="N3" t="s">
        <v>241</v>
      </c>
      <c r="O3">
        <v>669</v>
      </c>
      <c r="P3">
        <v>4</v>
      </c>
      <c r="Q3" t="s">
        <v>253</v>
      </c>
      <c r="S3" t="b">
        <f>EXACT(TRIM(B3),TRIM(K3))</f>
        <v>1</v>
      </c>
      <c r="T3" t="b">
        <f>EXACT(TRIM(C3),TRIM(L3))</f>
        <v>1</v>
      </c>
      <c r="U3" t="b">
        <f>EXACT(TRIM(D3),TRIM(M3))</f>
        <v>1</v>
      </c>
      <c r="V3" t="b">
        <f>EXACT(TRIM(E3),TRIM(N3))</f>
        <v>1</v>
      </c>
      <c r="W3" t="b">
        <f t="shared" ref="W3:Y3" si="0">EXACT(TRIM(F3),TRIM(O3))</f>
        <v>1</v>
      </c>
      <c r="X3" t="b">
        <f t="shared" si="0"/>
        <v>1</v>
      </c>
      <c r="Y3" t="b">
        <f t="shared" si="0"/>
        <v>1</v>
      </c>
    </row>
    <row r="4" spans="1:25" x14ac:dyDescent="0.35">
      <c r="A4" t="s">
        <v>5</v>
      </c>
      <c r="B4">
        <v>16078</v>
      </c>
      <c r="C4">
        <v>15064</v>
      </c>
      <c r="D4">
        <v>94.7</v>
      </c>
      <c r="E4" t="s">
        <v>242</v>
      </c>
      <c r="F4">
        <v>1014</v>
      </c>
      <c r="G4">
        <v>5.3</v>
      </c>
      <c r="H4" t="s">
        <v>254</v>
      </c>
      <c r="J4" t="s">
        <v>5</v>
      </c>
      <c r="K4">
        <v>16078</v>
      </c>
      <c r="L4">
        <v>15064</v>
      </c>
      <c r="M4">
        <v>94.7</v>
      </c>
      <c r="N4" t="s">
        <v>266</v>
      </c>
      <c r="O4">
        <v>1014</v>
      </c>
      <c r="P4">
        <v>5.3</v>
      </c>
      <c r="Q4" t="s">
        <v>276</v>
      </c>
      <c r="S4" t="b">
        <f t="shared" ref="S4:S16" si="1">EXACT(TRIM(B4),TRIM(K4))</f>
        <v>1</v>
      </c>
      <c r="T4" t="b">
        <f t="shared" ref="T4:T16" si="2">EXACT(TRIM(C4),TRIM(L4))</f>
        <v>1</v>
      </c>
      <c r="U4" t="b">
        <f t="shared" ref="U4:U16" si="3">EXACT(TRIM(D4),TRIM(M4))</f>
        <v>1</v>
      </c>
      <c r="V4" t="b">
        <f t="shared" ref="V4:V16" si="4">EXACT(TRIM(E4),TRIM(N4))</f>
        <v>0</v>
      </c>
      <c r="W4" t="b">
        <f t="shared" ref="W4:W16" si="5">EXACT(TRIM(F4),TRIM(O4))</f>
        <v>1</v>
      </c>
      <c r="X4" t="b">
        <f t="shared" ref="X4:X16" si="6">EXACT(TRIM(G4),TRIM(P4))</f>
        <v>1</v>
      </c>
      <c r="Y4" t="b">
        <f t="shared" ref="Y4:Y16" si="7">EXACT(TRIM(H4),TRIM(Q4))</f>
        <v>0</v>
      </c>
    </row>
    <row r="5" spans="1:25" x14ac:dyDescent="0.35">
      <c r="J5" t="s">
        <v>132</v>
      </c>
      <c r="K5">
        <v>29443</v>
      </c>
      <c r="L5">
        <v>27760</v>
      </c>
      <c r="M5">
        <v>95.4</v>
      </c>
      <c r="N5" t="s">
        <v>265</v>
      </c>
      <c r="O5">
        <v>1683</v>
      </c>
      <c r="P5">
        <v>4.5999999999999996</v>
      </c>
      <c r="Q5" t="s">
        <v>275</v>
      </c>
    </row>
    <row r="6" spans="1:25" x14ac:dyDescent="0.35">
      <c r="A6" t="s">
        <v>8</v>
      </c>
      <c r="B6">
        <v>1828</v>
      </c>
      <c r="C6">
        <v>1811</v>
      </c>
      <c r="D6">
        <v>99.2</v>
      </c>
      <c r="E6" t="s">
        <v>243</v>
      </c>
      <c r="F6">
        <v>17</v>
      </c>
      <c r="G6">
        <v>0.8</v>
      </c>
      <c r="H6" t="s">
        <v>255</v>
      </c>
      <c r="J6" t="s">
        <v>138</v>
      </c>
      <c r="K6">
        <v>1828</v>
      </c>
      <c r="L6">
        <v>1811</v>
      </c>
      <c r="M6">
        <v>99.2</v>
      </c>
      <c r="N6" t="s">
        <v>267</v>
      </c>
      <c r="O6">
        <v>17</v>
      </c>
      <c r="P6">
        <v>0.8</v>
      </c>
      <c r="Q6" t="s">
        <v>277</v>
      </c>
      <c r="S6" t="b">
        <f t="shared" si="1"/>
        <v>1</v>
      </c>
      <c r="T6" t="b">
        <f t="shared" si="2"/>
        <v>1</v>
      </c>
      <c r="U6" t="b">
        <f t="shared" si="3"/>
        <v>1</v>
      </c>
      <c r="V6" t="b">
        <f t="shared" si="4"/>
        <v>0</v>
      </c>
      <c r="W6" t="b">
        <f t="shared" si="5"/>
        <v>1</v>
      </c>
      <c r="X6" t="b">
        <f t="shared" si="6"/>
        <v>1</v>
      </c>
      <c r="Y6" t="b">
        <f t="shared" si="7"/>
        <v>0</v>
      </c>
    </row>
    <row r="7" spans="1:25" x14ac:dyDescent="0.35">
      <c r="A7" t="s">
        <v>9</v>
      </c>
      <c r="B7">
        <v>9094</v>
      </c>
      <c r="C7">
        <v>8960</v>
      </c>
      <c r="D7">
        <v>98.6</v>
      </c>
      <c r="E7" t="s">
        <v>244</v>
      </c>
      <c r="F7">
        <v>134</v>
      </c>
      <c r="G7">
        <v>1.4</v>
      </c>
      <c r="H7" t="s">
        <v>256</v>
      </c>
      <c r="J7" t="s">
        <v>141</v>
      </c>
      <c r="K7">
        <v>9094</v>
      </c>
      <c r="L7">
        <v>8960</v>
      </c>
      <c r="M7">
        <v>98.6</v>
      </c>
      <c r="N7" t="s">
        <v>268</v>
      </c>
      <c r="O7">
        <v>134</v>
      </c>
      <c r="P7">
        <v>1.4</v>
      </c>
      <c r="Q7" t="s">
        <v>278</v>
      </c>
      <c r="S7" t="b">
        <f t="shared" si="1"/>
        <v>1</v>
      </c>
      <c r="T7" t="b">
        <f t="shared" si="2"/>
        <v>1</v>
      </c>
      <c r="U7" t="b">
        <f t="shared" si="3"/>
        <v>1</v>
      </c>
      <c r="V7" t="b">
        <f t="shared" si="4"/>
        <v>0</v>
      </c>
      <c r="W7" t="b">
        <f t="shared" si="5"/>
        <v>1</v>
      </c>
      <c r="X7" t="b">
        <f t="shared" si="6"/>
        <v>1</v>
      </c>
      <c r="Y7" t="b">
        <f t="shared" si="7"/>
        <v>0</v>
      </c>
    </row>
    <row r="8" spans="1:25" x14ac:dyDescent="0.35">
      <c r="A8" t="s">
        <v>10</v>
      </c>
      <c r="B8">
        <v>4293</v>
      </c>
      <c r="C8">
        <v>4148</v>
      </c>
      <c r="D8">
        <v>96.8</v>
      </c>
      <c r="E8" t="s">
        <v>245</v>
      </c>
      <c r="F8">
        <v>145</v>
      </c>
      <c r="G8">
        <v>3.2</v>
      </c>
      <c r="H8" t="s">
        <v>257</v>
      </c>
      <c r="J8" t="s">
        <v>144</v>
      </c>
      <c r="K8">
        <v>4293</v>
      </c>
      <c r="L8">
        <v>4148</v>
      </c>
      <c r="M8">
        <v>96.8</v>
      </c>
      <c r="N8" t="s">
        <v>269</v>
      </c>
      <c r="O8">
        <v>145</v>
      </c>
      <c r="P8">
        <v>3.2</v>
      </c>
      <c r="Q8" t="s">
        <v>279</v>
      </c>
      <c r="S8" t="b">
        <f t="shared" si="1"/>
        <v>1</v>
      </c>
      <c r="T8" t="b">
        <f t="shared" si="2"/>
        <v>1</v>
      </c>
      <c r="U8" t="b">
        <f t="shared" si="3"/>
        <v>1</v>
      </c>
      <c r="V8" t="b">
        <f t="shared" si="4"/>
        <v>0</v>
      </c>
      <c r="W8" t="b">
        <f t="shared" si="5"/>
        <v>1</v>
      </c>
      <c r="X8" t="b">
        <f t="shared" si="6"/>
        <v>1</v>
      </c>
      <c r="Y8" t="b">
        <f t="shared" si="7"/>
        <v>0</v>
      </c>
    </row>
    <row r="9" spans="1:25" x14ac:dyDescent="0.35">
      <c r="A9" t="s">
        <v>11</v>
      </c>
      <c r="B9">
        <v>5285</v>
      </c>
      <c r="C9">
        <v>4866</v>
      </c>
      <c r="D9">
        <v>92.7</v>
      </c>
      <c r="E9" t="s">
        <v>246</v>
      </c>
      <c r="F9">
        <v>419</v>
      </c>
      <c r="G9">
        <v>7.3</v>
      </c>
      <c r="H9" t="s">
        <v>258</v>
      </c>
      <c r="J9" t="s">
        <v>147</v>
      </c>
      <c r="K9">
        <v>5285</v>
      </c>
      <c r="L9">
        <v>4866</v>
      </c>
      <c r="M9">
        <v>92.7</v>
      </c>
      <c r="N9" t="s">
        <v>246</v>
      </c>
      <c r="O9">
        <v>419</v>
      </c>
      <c r="P9">
        <v>7.3</v>
      </c>
      <c r="Q9" t="s">
        <v>258</v>
      </c>
      <c r="S9" t="b">
        <f t="shared" si="1"/>
        <v>1</v>
      </c>
      <c r="T9" t="b">
        <f t="shared" si="2"/>
        <v>1</v>
      </c>
      <c r="U9" t="b">
        <f t="shared" si="3"/>
        <v>1</v>
      </c>
      <c r="V9" t="b">
        <f t="shared" si="4"/>
        <v>1</v>
      </c>
      <c r="W9" t="b">
        <f t="shared" si="5"/>
        <v>1</v>
      </c>
      <c r="X9" t="b">
        <f t="shared" si="6"/>
        <v>1</v>
      </c>
      <c r="Y9" t="b">
        <f t="shared" si="7"/>
        <v>1</v>
      </c>
    </row>
    <row r="10" spans="1:25" x14ac:dyDescent="0.35">
      <c r="A10" t="s">
        <v>12</v>
      </c>
      <c r="B10">
        <v>5006</v>
      </c>
      <c r="C10">
        <v>4463</v>
      </c>
      <c r="D10">
        <v>90</v>
      </c>
      <c r="E10" t="s">
        <v>247</v>
      </c>
      <c r="F10">
        <v>543</v>
      </c>
      <c r="G10">
        <v>10</v>
      </c>
      <c r="H10" t="s">
        <v>259</v>
      </c>
      <c r="J10" t="s">
        <v>149</v>
      </c>
      <c r="K10">
        <v>5006</v>
      </c>
      <c r="L10">
        <v>4463</v>
      </c>
      <c r="M10">
        <v>90</v>
      </c>
      <c r="N10" t="s">
        <v>247</v>
      </c>
      <c r="O10">
        <v>543</v>
      </c>
      <c r="P10">
        <v>10</v>
      </c>
      <c r="Q10" t="s">
        <v>259</v>
      </c>
      <c r="S10" t="b">
        <f t="shared" si="1"/>
        <v>1</v>
      </c>
      <c r="T10" t="b">
        <f t="shared" si="2"/>
        <v>1</v>
      </c>
      <c r="U10" t="b">
        <f t="shared" si="3"/>
        <v>1</v>
      </c>
      <c r="V10" t="b">
        <f t="shared" si="4"/>
        <v>1</v>
      </c>
      <c r="W10" t="b">
        <f t="shared" si="5"/>
        <v>1</v>
      </c>
      <c r="X10" t="b">
        <f t="shared" si="6"/>
        <v>1</v>
      </c>
      <c r="Y10" t="b">
        <f t="shared" si="7"/>
        <v>1</v>
      </c>
    </row>
    <row r="11" spans="1:25" x14ac:dyDescent="0.35">
      <c r="A11" t="s">
        <v>14</v>
      </c>
      <c r="B11">
        <v>3937</v>
      </c>
      <c r="C11">
        <v>3512</v>
      </c>
      <c r="D11">
        <v>88.7</v>
      </c>
      <c r="E11" t="s">
        <v>248</v>
      </c>
      <c r="F11">
        <v>425</v>
      </c>
      <c r="G11">
        <v>11.3</v>
      </c>
      <c r="H11" t="s">
        <v>260</v>
      </c>
      <c r="J11" t="s">
        <v>151</v>
      </c>
      <c r="K11">
        <v>3937</v>
      </c>
      <c r="L11">
        <v>3512</v>
      </c>
      <c r="M11">
        <v>88.7</v>
      </c>
      <c r="N11" t="s">
        <v>270</v>
      </c>
      <c r="O11">
        <v>425</v>
      </c>
      <c r="P11">
        <v>11.3</v>
      </c>
      <c r="Q11" t="s">
        <v>280</v>
      </c>
      <c r="S11" t="b">
        <f t="shared" si="1"/>
        <v>1</v>
      </c>
      <c r="T11" t="b">
        <f t="shared" si="2"/>
        <v>1</v>
      </c>
      <c r="U11" t="b">
        <f t="shared" si="3"/>
        <v>1</v>
      </c>
      <c r="V11" t="b">
        <f t="shared" si="4"/>
        <v>0</v>
      </c>
      <c r="W11" t="b">
        <f t="shared" si="5"/>
        <v>1</v>
      </c>
      <c r="X11" t="b">
        <f t="shared" si="6"/>
        <v>1</v>
      </c>
      <c r="Y11" t="b">
        <f t="shared" si="7"/>
        <v>0</v>
      </c>
    </row>
    <row r="12" spans="1:25" x14ac:dyDescent="0.35">
      <c r="J12" t="s">
        <v>154</v>
      </c>
      <c r="K12">
        <v>29443</v>
      </c>
      <c r="L12">
        <v>27760</v>
      </c>
      <c r="M12">
        <v>95.4</v>
      </c>
      <c r="N12" t="s">
        <v>265</v>
      </c>
      <c r="O12">
        <v>1683</v>
      </c>
      <c r="P12">
        <v>4.5999999999999996</v>
      </c>
      <c r="Q12" t="s">
        <v>275</v>
      </c>
    </row>
    <row r="13" spans="1:25" x14ac:dyDescent="0.35">
      <c r="A13" t="s">
        <v>15</v>
      </c>
      <c r="B13">
        <v>19629</v>
      </c>
      <c r="C13">
        <v>18282</v>
      </c>
      <c r="D13">
        <v>94.3</v>
      </c>
      <c r="E13" t="s">
        <v>249</v>
      </c>
      <c r="F13">
        <v>1347</v>
      </c>
      <c r="G13">
        <v>5.7</v>
      </c>
      <c r="H13" t="s">
        <v>261</v>
      </c>
      <c r="J13" t="s">
        <v>155</v>
      </c>
      <c r="K13">
        <v>19629</v>
      </c>
      <c r="L13">
        <v>18282</v>
      </c>
      <c r="M13">
        <v>94.3</v>
      </c>
      <c r="N13" t="s">
        <v>271</v>
      </c>
      <c r="O13">
        <v>1347</v>
      </c>
      <c r="P13">
        <v>5.7</v>
      </c>
      <c r="Q13" t="s">
        <v>281</v>
      </c>
      <c r="S13" t="b">
        <f t="shared" si="1"/>
        <v>1</v>
      </c>
      <c r="T13" t="b">
        <f t="shared" si="2"/>
        <v>1</v>
      </c>
      <c r="U13" t="b">
        <f t="shared" si="3"/>
        <v>1</v>
      </c>
      <c r="V13" t="b">
        <f t="shared" si="4"/>
        <v>0</v>
      </c>
      <c r="W13" t="b">
        <f t="shared" si="5"/>
        <v>1</v>
      </c>
      <c r="X13" t="b">
        <f t="shared" si="6"/>
        <v>1</v>
      </c>
      <c r="Y13" t="b">
        <f t="shared" si="7"/>
        <v>0</v>
      </c>
    </row>
    <row r="14" spans="1:25" x14ac:dyDescent="0.35">
      <c r="A14" t="s">
        <v>16</v>
      </c>
      <c r="B14">
        <v>3156</v>
      </c>
      <c r="C14">
        <v>2983</v>
      </c>
      <c r="D14">
        <v>95.6</v>
      </c>
      <c r="E14" t="s">
        <v>250</v>
      </c>
      <c r="F14">
        <v>173</v>
      </c>
      <c r="G14">
        <v>4.4000000000000004</v>
      </c>
      <c r="H14" t="s">
        <v>262</v>
      </c>
      <c r="J14" t="s">
        <v>158</v>
      </c>
      <c r="K14">
        <v>3156</v>
      </c>
      <c r="L14">
        <v>2983</v>
      </c>
      <c r="M14">
        <v>95.6</v>
      </c>
      <c r="N14" t="s">
        <v>272</v>
      </c>
      <c r="O14">
        <v>173</v>
      </c>
      <c r="P14">
        <v>4.4000000000000004</v>
      </c>
      <c r="Q14" t="s">
        <v>282</v>
      </c>
      <c r="S14" t="b">
        <f t="shared" si="1"/>
        <v>1</v>
      </c>
      <c r="T14" t="b">
        <f t="shared" si="2"/>
        <v>1</v>
      </c>
      <c r="U14" t="b">
        <f t="shared" si="3"/>
        <v>1</v>
      </c>
      <c r="V14" t="b">
        <f t="shared" si="4"/>
        <v>0</v>
      </c>
      <c r="W14" t="b">
        <f t="shared" si="5"/>
        <v>1</v>
      </c>
      <c r="X14" t="b">
        <f t="shared" si="6"/>
        <v>1</v>
      </c>
      <c r="Y14" t="b">
        <f t="shared" si="7"/>
        <v>0</v>
      </c>
    </row>
    <row r="15" spans="1:25" x14ac:dyDescent="0.35">
      <c r="A15" t="s">
        <v>17</v>
      </c>
      <c r="B15">
        <v>4079</v>
      </c>
      <c r="C15">
        <v>3989</v>
      </c>
      <c r="D15">
        <v>98.1</v>
      </c>
      <c r="E15" t="s">
        <v>251</v>
      </c>
      <c r="F15">
        <v>90</v>
      </c>
      <c r="G15">
        <v>1.9</v>
      </c>
      <c r="H15" t="s">
        <v>263</v>
      </c>
      <c r="J15" t="s">
        <v>161</v>
      </c>
      <c r="K15">
        <v>4079</v>
      </c>
      <c r="L15">
        <v>3989</v>
      </c>
      <c r="M15">
        <v>98.1</v>
      </c>
      <c r="N15" t="s">
        <v>273</v>
      </c>
      <c r="O15">
        <v>90</v>
      </c>
      <c r="P15">
        <v>1.9</v>
      </c>
      <c r="Q15" t="s">
        <v>283</v>
      </c>
      <c r="S15" t="b">
        <f t="shared" si="1"/>
        <v>1</v>
      </c>
      <c r="T15" t="b">
        <f t="shared" si="2"/>
        <v>1</v>
      </c>
      <c r="U15" t="b">
        <f t="shared" si="3"/>
        <v>1</v>
      </c>
      <c r="V15" t="b">
        <f t="shared" si="4"/>
        <v>0</v>
      </c>
      <c r="W15" t="b">
        <f t="shared" si="5"/>
        <v>1</v>
      </c>
      <c r="X15" t="b">
        <f t="shared" si="6"/>
        <v>1</v>
      </c>
      <c r="Y15" t="b">
        <f t="shared" si="7"/>
        <v>0</v>
      </c>
    </row>
    <row r="16" spans="1:25" x14ac:dyDescent="0.35">
      <c r="A16" t="s">
        <v>18</v>
      </c>
      <c r="B16">
        <v>2579</v>
      </c>
      <c r="C16">
        <v>2506</v>
      </c>
      <c r="D16">
        <v>97.7</v>
      </c>
      <c r="E16" t="s">
        <v>252</v>
      </c>
      <c r="F16">
        <v>73</v>
      </c>
      <c r="G16">
        <v>2.2999999999999998</v>
      </c>
      <c r="H16" t="s">
        <v>264</v>
      </c>
      <c r="J16" t="s">
        <v>164</v>
      </c>
      <c r="K16">
        <v>2579</v>
      </c>
      <c r="L16">
        <v>2506</v>
      </c>
      <c r="M16">
        <v>97.7</v>
      </c>
      <c r="N16" t="s">
        <v>274</v>
      </c>
      <c r="O16">
        <v>73</v>
      </c>
      <c r="P16">
        <v>2.2999999999999998</v>
      </c>
      <c r="Q16" t="s">
        <v>284</v>
      </c>
      <c r="S16" t="b">
        <f t="shared" si="1"/>
        <v>1</v>
      </c>
      <c r="T16" t="b">
        <f t="shared" si="2"/>
        <v>1</v>
      </c>
      <c r="U16" t="b">
        <f t="shared" si="3"/>
        <v>1</v>
      </c>
      <c r="V16" t="b">
        <f t="shared" si="4"/>
        <v>0</v>
      </c>
      <c r="W16" t="b">
        <f t="shared" si="5"/>
        <v>1</v>
      </c>
      <c r="X16" t="b">
        <f t="shared" si="6"/>
        <v>1</v>
      </c>
      <c r="Y16" t="b">
        <f t="shared" si="7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C25" sqref="C25:C29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E1" t="s">
        <v>123</v>
      </c>
      <c r="F1" t="s">
        <v>124</v>
      </c>
      <c r="G1" t="s">
        <v>125</v>
      </c>
    </row>
    <row r="2" spans="1:7" x14ac:dyDescent="0.35">
      <c r="A2">
        <v>0</v>
      </c>
      <c r="B2" t="s">
        <v>3</v>
      </c>
      <c r="E2">
        <v>0</v>
      </c>
      <c r="F2" t="s">
        <v>3</v>
      </c>
    </row>
    <row r="3" spans="1:7" x14ac:dyDescent="0.35">
      <c r="A3">
        <v>1</v>
      </c>
      <c r="B3" t="s">
        <v>4</v>
      </c>
      <c r="C3">
        <v>13363</v>
      </c>
      <c r="E3">
        <v>1</v>
      </c>
      <c r="F3" t="s">
        <v>4</v>
      </c>
      <c r="G3">
        <v>13363</v>
      </c>
    </row>
    <row r="4" spans="1:7" x14ac:dyDescent="0.35">
      <c r="A4">
        <v>2</v>
      </c>
      <c r="B4" t="s">
        <v>5</v>
      </c>
      <c r="C4">
        <v>16078</v>
      </c>
      <c r="E4">
        <v>2</v>
      </c>
      <c r="F4" t="s">
        <v>5</v>
      </c>
      <c r="G4">
        <v>16078</v>
      </c>
    </row>
    <row r="5" spans="1:7" x14ac:dyDescent="0.35">
      <c r="A5">
        <v>2.5</v>
      </c>
      <c r="B5" t="s">
        <v>6</v>
      </c>
      <c r="E5">
        <v>2.5</v>
      </c>
      <c r="F5" t="s">
        <v>6</v>
      </c>
    </row>
    <row r="6" spans="1:7" x14ac:dyDescent="0.35">
      <c r="A6" s="1">
        <v>3</v>
      </c>
      <c r="B6" s="1" t="s">
        <v>7</v>
      </c>
      <c r="C6" s="1">
        <v>2</v>
      </c>
      <c r="D6" t="s">
        <v>200</v>
      </c>
      <c r="E6">
        <v>3</v>
      </c>
      <c r="F6" t="s">
        <v>8</v>
      </c>
      <c r="G6">
        <v>1828</v>
      </c>
    </row>
    <row r="7" spans="1:7" x14ac:dyDescent="0.35">
      <c r="A7">
        <v>4</v>
      </c>
      <c r="B7" t="s">
        <v>8</v>
      </c>
      <c r="C7">
        <v>1828</v>
      </c>
      <c r="E7">
        <v>4</v>
      </c>
      <c r="F7" t="s">
        <v>9</v>
      </c>
      <c r="G7">
        <v>9094</v>
      </c>
    </row>
    <row r="8" spans="1:7" x14ac:dyDescent="0.35">
      <c r="A8">
        <v>5</v>
      </c>
      <c r="B8" t="s">
        <v>9</v>
      </c>
      <c r="C8">
        <v>9094</v>
      </c>
      <c r="E8">
        <v>5</v>
      </c>
      <c r="F8" t="s">
        <v>10</v>
      </c>
      <c r="G8">
        <v>4293</v>
      </c>
    </row>
    <row r="9" spans="1:7" x14ac:dyDescent="0.35">
      <c r="A9">
        <v>6</v>
      </c>
      <c r="B9" t="s">
        <v>10</v>
      </c>
      <c r="C9">
        <v>4293</v>
      </c>
      <c r="E9">
        <v>6</v>
      </c>
      <c r="F9" t="s">
        <v>11</v>
      </c>
      <c r="G9">
        <v>5285</v>
      </c>
    </row>
    <row r="10" spans="1:7" x14ac:dyDescent="0.35">
      <c r="A10">
        <v>7</v>
      </c>
      <c r="B10" t="s">
        <v>11</v>
      </c>
      <c r="C10">
        <v>5285</v>
      </c>
      <c r="E10">
        <v>7</v>
      </c>
      <c r="F10" t="s">
        <v>12</v>
      </c>
      <c r="G10">
        <v>5006</v>
      </c>
    </row>
    <row r="11" spans="1:7" x14ac:dyDescent="0.35">
      <c r="A11">
        <v>8</v>
      </c>
      <c r="B11" t="s">
        <v>12</v>
      </c>
      <c r="C11">
        <v>5006</v>
      </c>
      <c r="E11">
        <v>8</v>
      </c>
      <c r="F11" t="s">
        <v>14</v>
      </c>
      <c r="G11">
        <v>3937</v>
      </c>
    </row>
    <row r="12" spans="1:7" x14ac:dyDescent="0.35">
      <c r="A12">
        <v>8.5</v>
      </c>
      <c r="B12" t="s">
        <v>13</v>
      </c>
      <c r="E12">
        <v>8.5</v>
      </c>
      <c r="F12" t="s">
        <v>13</v>
      </c>
    </row>
    <row r="13" spans="1:7" x14ac:dyDescent="0.35">
      <c r="A13">
        <v>9</v>
      </c>
      <c r="B13" t="s">
        <v>14</v>
      </c>
      <c r="C13">
        <v>3937</v>
      </c>
      <c r="E13">
        <v>9</v>
      </c>
      <c r="F13" t="s">
        <v>15</v>
      </c>
      <c r="G13">
        <v>19629</v>
      </c>
    </row>
    <row r="14" spans="1:7" x14ac:dyDescent="0.35">
      <c r="A14">
        <v>10</v>
      </c>
      <c r="B14" t="s">
        <v>15</v>
      </c>
      <c r="C14">
        <v>19629</v>
      </c>
      <c r="E14">
        <v>10</v>
      </c>
      <c r="F14" t="s">
        <v>16</v>
      </c>
      <c r="G14">
        <v>3156</v>
      </c>
    </row>
    <row r="15" spans="1:7" x14ac:dyDescent="0.35">
      <c r="A15">
        <v>11</v>
      </c>
      <c r="B15" t="s">
        <v>16</v>
      </c>
      <c r="C15">
        <v>3156</v>
      </c>
      <c r="E15">
        <v>11</v>
      </c>
      <c r="F15" t="s">
        <v>17</v>
      </c>
      <c r="G15">
        <v>4079</v>
      </c>
    </row>
    <row r="16" spans="1:7" x14ac:dyDescent="0.35">
      <c r="A16">
        <v>12</v>
      </c>
      <c r="B16" t="s">
        <v>17</v>
      </c>
      <c r="C16">
        <v>4079</v>
      </c>
      <c r="E16">
        <v>12</v>
      </c>
      <c r="F16" t="s">
        <v>18</v>
      </c>
      <c r="G16">
        <v>2579</v>
      </c>
    </row>
    <row r="17" spans="1:3" x14ac:dyDescent="0.35">
      <c r="A17">
        <v>13</v>
      </c>
      <c r="B17" t="s">
        <v>18</v>
      </c>
      <c r="C17">
        <v>2579</v>
      </c>
    </row>
    <row r="21" spans="1:3" x14ac:dyDescent="0.35">
      <c r="A21" t="s">
        <v>201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opLeftCell="E1" workbookViewId="0">
      <selection activeCell="Q6" sqref="Q6"/>
    </sheetView>
  </sheetViews>
  <sheetFormatPr defaultColWidth="10.90625" defaultRowHeight="14.5" x14ac:dyDescent="0.35"/>
  <cols>
    <col min="4" max="4" width="28.90625" customWidth="1"/>
    <col min="6" max="6" width="14.90625" customWidth="1"/>
    <col min="11" max="11" width="19.08984375" customWidth="1"/>
  </cols>
  <sheetData>
    <row r="1" spans="1:19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O1" t="s">
        <v>238</v>
      </c>
      <c r="P1" t="s">
        <v>237</v>
      </c>
      <c r="Q1" t="s">
        <v>239</v>
      </c>
      <c r="R1" t="s">
        <v>240</v>
      </c>
      <c r="S1" t="s">
        <v>239</v>
      </c>
    </row>
    <row r="2" spans="1:19" x14ac:dyDescent="0.35">
      <c r="H2" t="s">
        <v>132</v>
      </c>
      <c r="I2">
        <v>29441</v>
      </c>
      <c r="J2">
        <v>27758</v>
      </c>
      <c r="K2" t="s">
        <v>133</v>
      </c>
      <c r="L2">
        <v>1683</v>
      </c>
      <c r="M2" t="s">
        <v>225</v>
      </c>
    </row>
    <row r="3" spans="1:19" x14ac:dyDescent="0.35">
      <c r="A3" t="s">
        <v>4</v>
      </c>
      <c r="B3">
        <v>13363</v>
      </c>
      <c r="C3">
        <v>12694</v>
      </c>
      <c r="D3" t="s">
        <v>25</v>
      </c>
      <c r="E3">
        <v>669</v>
      </c>
      <c r="F3" t="s">
        <v>26</v>
      </c>
      <c r="H3" t="s">
        <v>4</v>
      </c>
      <c r="I3">
        <v>13363</v>
      </c>
      <c r="J3">
        <v>12694</v>
      </c>
      <c r="K3" t="s">
        <v>25</v>
      </c>
      <c r="L3">
        <v>669</v>
      </c>
      <c r="M3" t="s">
        <v>226</v>
      </c>
      <c r="O3" t="b">
        <f>EXACT(TRIM(B3),TRIM(I3))</f>
        <v>1</v>
      </c>
      <c r="P3" t="b">
        <f t="shared" ref="P3:S16" si="0">EXACT(TRIM(C3),TRIM(J3))</f>
        <v>1</v>
      </c>
      <c r="Q3" t="b">
        <f t="shared" si="0"/>
        <v>1</v>
      </c>
      <c r="R3" t="b">
        <f t="shared" si="0"/>
        <v>1</v>
      </c>
      <c r="S3" t="b">
        <f t="shared" si="0"/>
        <v>1</v>
      </c>
    </row>
    <row r="4" spans="1:19" x14ac:dyDescent="0.35">
      <c r="A4" t="s">
        <v>5</v>
      </c>
      <c r="B4">
        <v>16078</v>
      </c>
      <c r="C4">
        <v>15064</v>
      </c>
      <c r="D4" t="s">
        <v>27</v>
      </c>
      <c r="E4">
        <v>1014</v>
      </c>
      <c r="F4" t="s">
        <v>28</v>
      </c>
      <c r="H4" t="s">
        <v>5</v>
      </c>
      <c r="I4">
        <v>16078</v>
      </c>
      <c r="J4">
        <v>15064</v>
      </c>
      <c r="K4" t="s">
        <v>136</v>
      </c>
      <c r="L4">
        <v>1014</v>
      </c>
      <c r="M4" t="s">
        <v>227</v>
      </c>
      <c r="O4" t="b">
        <f t="shared" ref="O4:O16" si="1">EXACT(TRIM(B4),TRIM(I4))</f>
        <v>1</v>
      </c>
      <c r="P4" t="b">
        <f t="shared" si="0"/>
        <v>1</v>
      </c>
      <c r="Q4" t="b">
        <f t="shared" si="0"/>
        <v>0</v>
      </c>
      <c r="R4" t="b">
        <f t="shared" si="0"/>
        <v>1</v>
      </c>
      <c r="S4" t="b">
        <f t="shared" si="0"/>
        <v>0</v>
      </c>
    </row>
    <row r="5" spans="1:19" x14ac:dyDescent="0.35">
      <c r="H5" t="s">
        <v>132</v>
      </c>
      <c r="I5">
        <v>29443</v>
      </c>
      <c r="J5">
        <v>27760</v>
      </c>
      <c r="K5" t="s">
        <v>133</v>
      </c>
      <c r="L5">
        <v>1683</v>
      </c>
      <c r="M5" t="s">
        <v>225</v>
      </c>
    </row>
    <row r="6" spans="1:19" x14ac:dyDescent="0.35">
      <c r="A6" t="s">
        <v>8</v>
      </c>
      <c r="B6">
        <v>1828</v>
      </c>
      <c r="C6">
        <v>1811</v>
      </c>
      <c r="D6" t="s">
        <v>29</v>
      </c>
      <c r="E6">
        <v>17</v>
      </c>
      <c r="F6" t="s">
        <v>30</v>
      </c>
      <c r="H6" t="s">
        <v>138</v>
      </c>
      <c r="I6">
        <v>1828</v>
      </c>
      <c r="J6">
        <v>1811</v>
      </c>
      <c r="K6" t="s">
        <v>139</v>
      </c>
      <c r="L6">
        <v>17</v>
      </c>
      <c r="M6" t="s">
        <v>228</v>
      </c>
      <c r="O6" t="b">
        <f t="shared" si="1"/>
        <v>1</v>
      </c>
      <c r="P6" t="b">
        <f t="shared" si="0"/>
        <v>1</v>
      </c>
      <c r="Q6" t="b">
        <f t="shared" si="0"/>
        <v>0</v>
      </c>
      <c r="R6" t="b">
        <f t="shared" si="0"/>
        <v>1</v>
      </c>
      <c r="S6" t="b">
        <f t="shared" si="0"/>
        <v>0</v>
      </c>
    </row>
    <row r="7" spans="1:19" x14ac:dyDescent="0.35">
      <c r="A7" t="s">
        <v>9</v>
      </c>
      <c r="B7">
        <v>9094</v>
      </c>
      <c r="C7">
        <v>8960</v>
      </c>
      <c r="D7" t="s">
        <v>31</v>
      </c>
      <c r="E7">
        <v>134</v>
      </c>
      <c r="F7" t="s">
        <v>32</v>
      </c>
      <c r="H7" t="s">
        <v>141</v>
      </c>
      <c r="I7">
        <v>9094</v>
      </c>
      <c r="J7">
        <v>8960</v>
      </c>
      <c r="K7" t="s">
        <v>142</v>
      </c>
      <c r="L7">
        <v>134</v>
      </c>
      <c r="M7" t="s">
        <v>229</v>
      </c>
      <c r="O7" t="b">
        <f t="shared" si="1"/>
        <v>1</v>
      </c>
      <c r="P7" t="b">
        <f t="shared" si="0"/>
        <v>1</v>
      </c>
      <c r="Q7" t="b">
        <f t="shared" si="0"/>
        <v>0</v>
      </c>
      <c r="R7" t="b">
        <f t="shared" si="0"/>
        <v>1</v>
      </c>
      <c r="S7" t="b">
        <f t="shared" si="0"/>
        <v>0</v>
      </c>
    </row>
    <row r="8" spans="1:19" x14ac:dyDescent="0.35">
      <c r="A8" t="s">
        <v>10</v>
      </c>
      <c r="B8">
        <v>4293</v>
      </c>
      <c r="C8">
        <v>4148</v>
      </c>
      <c r="D8" t="s">
        <v>33</v>
      </c>
      <c r="E8">
        <v>145</v>
      </c>
      <c r="F8" t="s">
        <v>34</v>
      </c>
      <c r="H8" t="s">
        <v>144</v>
      </c>
      <c r="I8">
        <v>4293</v>
      </c>
      <c r="J8">
        <v>4148</v>
      </c>
      <c r="K8" t="s">
        <v>145</v>
      </c>
      <c r="L8">
        <v>145</v>
      </c>
      <c r="M8" t="s">
        <v>230</v>
      </c>
      <c r="O8" t="b">
        <f t="shared" si="1"/>
        <v>1</v>
      </c>
      <c r="P8" t="b">
        <f t="shared" si="0"/>
        <v>1</v>
      </c>
      <c r="Q8" t="b">
        <f t="shared" si="0"/>
        <v>0</v>
      </c>
      <c r="R8" t="b">
        <f t="shared" si="0"/>
        <v>1</v>
      </c>
      <c r="S8" t="b">
        <f t="shared" si="0"/>
        <v>0</v>
      </c>
    </row>
    <row r="9" spans="1:19" x14ac:dyDescent="0.35">
      <c r="A9" t="s">
        <v>11</v>
      </c>
      <c r="B9">
        <v>5285</v>
      </c>
      <c r="C9">
        <v>4866</v>
      </c>
      <c r="D9" t="s">
        <v>35</v>
      </c>
      <c r="E9">
        <v>419</v>
      </c>
      <c r="F9" t="s">
        <v>36</v>
      </c>
      <c r="H9" t="s">
        <v>147</v>
      </c>
      <c r="I9">
        <v>5285</v>
      </c>
      <c r="J9">
        <v>4866</v>
      </c>
      <c r="K9" t="s">
        <v>35</v>
      </c>
      <c r="L9">
        <v>419</v>
      </c>
      <c r="M9" t="s">
        <v>231</v>
      </c>
      <c r="O9" t="b">
        <f t="shared" si="1"/>
        <v>1</v>
      </c>
      <c r="P9" t="b">
        <f t="shared" si="0"/>
        <v>1</v>
      </c>
      <c r="Q9" t="b">
        <f t="shared" si="0"/>
        <v>1</v>
      </c>
      <c r="R9" t="b">
        <f t="shared" si="0"/>
        <v>1</v>
      </c>
      <c r="S9" t="b">
        <f t="shared" si="0"/>
        <v>1</v>
      </c>
    </row>
    <row r="10" spans="1:19" x14ac:dyDescent="0.35">
      <c r="A10" t="s">
        <v>12</v>
      </c>
      <c r="B10">
        <v>5006</v>
      </c>
      <c r="C10">
        <v>4463</v>
      </c>
      <c r="D10" t="s">
        <v>37</v>
      </c>
      <c r="E10">
        <v>543</v>
      </c>
      <c r="F10" t="s">
        <v>38</v>
      </c>
      <c r="H10" t="s">
        <v>149</v>
      </c>
      <c r="I10">
        <v>5006</v>
      </c>
      <c r="J10">
        <v>4463</v>
      </c>
      <c r="K10" t="s">
        <v>37</v>
      </c>
      <c r="L10">
        <v>543</v>
      </c>
      <c r="M10" t="s">
        <v>38</v>
      </c>
      <c r="O10" t="b">
        <f t="shared" si="1"/>
        <v>1</v>
      </c>
      <c r="P10" t="b">
        <f t="shared" si="0"/>
        <v>1</v>
      </c>
      <c r="Q10" t="b">
        <f t="shared" si="0"/>
        <v>1</v>
      </c>
      <c r="R10" t="b">
        <f t="shared" si="0"/>
        <v>1</v>
      </c>
      <c r="S10" t="b">
        <f t="shared" si="0"/>
        <v>1</v>
      </c>
    </row>
    <row r="11" spans="1:19" x14ac:dyDescent="0.35">
      <c r="A11" t="s">
        <v>14</v>
      </c>
      <c r="B11">
        <v>3937</v>
      </c>
      <c r="C11">
        <v>3512</v>
      </c>
      <c r="D11" t="s">
        <v>39</v>
      </c>
      <c r="E11">
        <v>425</v>
      </c>
      <c r="F11" t="s">
        <v>40</v>
      </c>
      <c r="H11" t="s">
        <v>151</v>
      </c>
      <c r="I11">
        <v>3937</v>
      </c>
      <c r="J11">
        <v>3512</v>
      </c>
      <c r="K11" t="s">
        <v>152</v>
      </c>
      <c r="L11">
        <v>425</v>
      </c>
      <c r="M11" t="s">
        <v>153</v>
      </c>
      <c r="O11" t="b">
        <f t="shared" si="1"/>
        <v>1</v>
      </c>
      <c r="P11" t="b">
        <f t="shared" si="0"/>
        <v>1</v>
      </c>
      <c r="Q11" t="b">
        <f t="shared" si="0"/>
        <v>0</v>
      </c>
      <c r="R11" t="b">
        <f t="shared" si="0"/>
        <v>1</v>
      </c>
      <c r="S11" t="b">
        <f t="shared" si="0"/>
        <v>0</v>
      </c>
    </row>
    <row r="12" spans="1:19" x14ac:dyDescent="0.35">
      <c r="H12" t="s">
        <v>154</v>
      </c>
      <c r="I12">
        <v>29443</v>
      </c>
      <c r="J12">
        <v>27760</v>
      </c>
      <c r="K12" t="s">
        <v>133</v>
      </c>
      <c r="L12">
        <v>1683</v>
      </c>
      <c r="M12" t="s">
        <v>225</v>
      </c>
    </row>
    <row r="13" spans="1:19" x14ac:dyDescent="0.35">
      <c r="A13" t="s">
        <v>15</v>
      </c>
      <c r="B13">
        <v>19629</v>
      </c>
      <c r="C13">
        <v>18282</v>
      </c>
      <c r="D13" t="s">
        <v>41</v>
      </c>
      <c r="E13">
        <v>1347</v>
      </c>
      <c r="F13" t="s">
        <v>42</v>
      </c>
      <c r="H13" t="s">
        <v>155</v>
      </c>
      <c r="I13">
        <v>19629</v>
      </c>
      <c r="J13">
        <v>18282</v>
      </c>
      <c r="K13" t="s">
        <v>156</v>
      </c>
      <c r="L13">
        <v>1347</v>
      </c>
      <c r="M13" t="s">
        <v>232</v>
      </c>
      <c r="O13" t="b">
        <f t="shared" si="1"/>
        <v>1</v>
      </c>
      <c r="P13" t="b">
        <f t="shared" si="0"/>
        <v>1</v>
      </c>
      <c r="Q13" t="b">
        <f t="shared" si="0"/>
        <v>0</v>
      </c>
      <c r="R13" t="b">
        <f t="shared" si="0"/>
        <v>1</v>
      </c>
      <c r="S13" t="b">
        <f t="shared" si="0"/>
        <v>0</v>
      </c>
    </row>
    <row r="14" spans="1:19" x14ac:dyDescent="0.35">
      <c r="A14" t="s">
        <v>16</v>
      </c>
      <c r="B14">
        <v>3156</v>
      </c>
      <c r="C14">
        <v>2983</v>
      </c>
      <c r="D14" t="s">
        <v>43</v>
      </c>
      <c r="E14">
        <v>173</v>
      </c>
      <c r="F14" t="s">
        <v>44</v>
      </c>
      <c r="H14" t="s">
        <v>158</v>
      </c>
      <c r="I14">
        <v>3156</v>
      </c>
      <c r="J14">
        <v>2983</v>
      </c>
      <c r="K14" t="s">
        <v>159</v>
      </c>
      <c r="L14">
        <v>173</v>
      </c>
      <c r="M14" t="s">
        <v>233</v>
      </c>
      <c r="O14" t="b">
        <f t="shared" si="1"/>
        <v>1</v>
      </c>
      <c r="P14" t="b">
        <f t="shared" si="0"/>
        <v>1</v>
      </c>
      <c r="Q14" t="b">
        <f t="shared" si="0"/>
        <v>0</v>
      </c>
      <c r="R14" t="b">
        <f t="shared" si="0"/>
        <v>1</v>
      </c>
      <c r="S14" t="b">
        <f t="shared" si="0"/>
        <v>0</v>
      </c>
    </row>
    <row r="15" spans="1:19" x14ac:dyDescent="0.35">
      <c r="A15" t="s">
        <v>17</v>
      </c>
      <c r="B15">
        <v>4079</v>
      </c>
      <c r="C15">
        <v>3989</v>
      </c>
      <c r="D15" t="s">
        <v>45</v>
      </c>
      <c r="E15">
        <v>90</v>
      </c>
      <c r="F15" t="s">
        <v>46</v>
      </c>
      <c r="H15" t="s">
        <v>161</v>
      </c>
      <c r="I15">
        <v>4079</v>
      </c>
      <c r="J15">
        <v>3989</v>
      </c>
      <c r="K15" t="s">
        <v>162</v>
      </c>
      <c r="L15">
        <v>90</v>
      </c>
      <c r="M15" t="s">
        <v>234</v>
      </c>
      <c r="O15" t="b">
        <f t="shared" si="1"/>
        <v>1</v>
      </c>
      <c r="P15" t="b">
        <f t="shared" si="0"/>
        <v>1</v>
      </c>
      <c r="Q15" t="b">
        <f t="shared" si="0"/>
        <v>0</v>
      </c>
      <c r="R15" t="b">
        <f t="shared" si="0"/>
        <v>1</v>
      </c>
      <c r="S15" t="b">
        <f t="shared" si="0"/>
        <v>0</v>
      </c>
    </row>
    <row r="16" spans="1:19" x14ac:dyDescent="0.35">
      <c r="A16" t="s">
        <v>18</v>
      </c>
      <c r="B16">
        <v>2579</v>
      </c>
      <c r="C16">
        <v>2506</v>
      </c>
      <c r="D16" t="s">
        <v>47</v>
      </c>
      <c r="E16">
        <v>73</v>
      </c>
      <c r="F16" t="s">
        <v>48</v>
      </c>
      <c r="H16" t="s">
        <v>164</v>
      </c>
      <c r="I16">
        <v>2579</v>
      </c>
      <c r="J16">
        <v>2506</v>
      </c>
      <c r="K16" t="s">
        <v>165</v>
      </c>
      <c r="L16">
        <v>73</v>
      </c>
      <c r="M16" t="s">
        <v>235</v>
      </c>
      <c r="O16" t="b">
        <f t="shared" si="1"/>
        <v>1</v>
      </c>
      <c r="P16" t="b">
        <f t="shared" si="0"/>
        <v>1</v>
      </c>
      <c r="Q16" t="b">
        <f t="shared" si="0"/>
        <v>0</v>
      </c>
      <c r="R16" t="b">
        <f t="shared" si="0"/>
        <v>1</v>
      </c>
      <c r="S16" t="b">
        <f t="shared" si="0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3"/>
  <sheetViews>
    <sheetView workbookViewId="0">
      <selection activeCell="A6" sqref="A6"/>
    </sheetView>
  </sheetViews>
  <sheetFormatPr defaultColWidth="10.90625" defaultRowHeight="14.5" x14ac:dyDescent="0.35"/>
  <cols>
    <col min="4" max="4" width="13.453125" style="2" bestFit="1" customWidth="1"/>
    <col min="9" max="9" width="12.36328125" bestFit="1" customWidth="1"/>
  </cols>
  <sheetData>
    <row r="1" spans="1:9" x14ac:dyDescent="0.35">
      <c r="A1" t="s">
        <v>49</v>
      </c>
      <c r="B1" t="s">
        <v>50</v>
      </c>
      <c r="C1" t="s">
        <v>51</v>
      </c>
      <c r="D1" s="2" t="s">
        <v>52</v>
      </c>
      <c r="F1" t="s">
        <v>167</v>
      </c>
      <c r="G1" t="s">
        <v>168</v>
      </c>
      <c r="H1" t="s">
        <v>169</v>
      </c>
      <c r="I1" t="s">
        <v>170</v>
      </c>
    </row>
    <row r="2" spans="1:9" x14ac:dyDescent="0.35">
      <c r="A2" t="s">
        <v>53</v>
      </c>
      <c r="B2">
        <v>23.8319533727379</v>
      </c>
      <c r="C2">
        <v>1</v>
      </c>
      <c r="D2" s="2">
        <v>1.3544497292529501E-6</v>
      </c>
      <c r="F2" t="s">
        <v>3</v>
      </c>
      <c r="G2">
        <v>24.346265543267037</v>
      </c>
      <c r="H2">
        <v>1</v>
      </c>
      <c r="I2" s="3">
        <v>1.0479067407092101E-6</v>
      </c>
    </row>
    <row r="3" spans="1:9" x14ac:dyDescent="0.35">
      <c r="A3" t="s">
        <v>54</v>
      </c>
      <c r="B3">
        <v>142.096178377538</v>
      </c>
      <c r="C3">
        <v>4.60878267655273</v>
      </c>
      <c r="D3" s="2">
        <v>4.5236685851072502E-125</v>
      </c>
      <c r="F3" t="s">
        <v>6</v>
      </c>
      <c r="G3">
        <v>119.61558523262961</v>
      </c>
      <c r="H3">
        <v>5</v>
      </c>
      <c r="I3" s="3">
        <v>2.6235653701253408E-87</v>
      </c>
    </row>
    <row r="4" spans="1:9" x14ac:dyDescent="0.35">
      <c r="A4" t="s">
        <v>55</v>
      </c>
      <c r="B4">
        <v>43.356259886735401</v>
      </c>
      <c r="C4">
        <v>2.9272851588864301</v>
      </c>
      <c r="D4" s="2">
        <v>1.9144830613132501E-26</v>
      </c>
      <c r="F4" t="s">
        <v>171</v>
      </c>
      <c r="G4">
        <v>56.351415625419598</v>
      </c>
      <c r="H4">
        <v>3</v>
      </c>
      <c r="I4" s="3">
        <v>4.7746044502741608E-32</v>
      </c>
    </row>
    <row r="6" spans="1:9" x14ac:dyDescent="0.35">
      <c r="A6" s="4" t="s">
        <v>222</v>
      </c>
    </row>
    <row r="7" spans="1:9" x14ac:dyDescent="0.35">
      <c r="A7" t="s">
        <v>202</v>
      </c>
    </row>
    <row r="8" spans="1:9" x14ac:dyDescent="0.35">
      <c r="A8" t="s">
        <v>203</v>
      </c>
    </row>
    <row r="9" spans="1:9" x14ac:dyDescent="0.35">
      <c r="A9" t="s">
        <v>204</v>
      </c>
    </row>
    <row r="10" spans="1:9" x14ac:dyDescent="0.35">
      <c r="A10" t="s">
        <v>205</v>
      </c>
    </row>
    <row r="12" spans="1:9" x14ac:dyDescent="0.35">
      <c r="A12" t="s">
        <v>206</v>
      </c>
    </row>
    <row r="13" spans="1:9" x14ac:dyDescent="0.35">
      <c r="A13" t="s">
        <v>207</v>
      </c>
    </row>
    <row r="14" spans="1:9" x14ac:dyDescent="0.35">
      <c r="A14" t="s">
        <v>208</v>
      </c>
    </row>
    <row r="15" spans="1:9" x14ac:dyDescent="0.35">
      <c r="A15" t="s">
        <v>206</v>
      </c>
    </row>
    <row r="16" spans="1:9" x14ac:dyDescent="0.35">
      <c r="A16" t="s">
        <v>209</v>
      </c>
    </row>
    <row r="17" spans="1:1" x14ac:dyDescent="0.35">
      <c r="A17" t="s">
        <v>210</v>
      </c>
    </row>
    <row r="18" spans="1:1" x14ac:dyDescent="0.35">
      <c r="A18" t="s">
        <v>211</v>
      </c>
    </row>
    <row r="19" spans="1:1" x14ac:dyDescent="0.35">
      <c r="A19" t="s">
        <v>212</v>
      </c>
    </row>
    <row r="20" spans="1:1" x14ac:dyDescent="0.35">
      <c r="A20" t="s">
        <v>213</v>
      </c>
    </row>
    <row r="21" spans="1:1" x14ac:dyDescent="0.35">
      <c r="A21" t="s">
        <v>206</v>
      </c>
    </row>
    <row r="23" spans="1:1" x14ac:dyDescent="0.35">
      <c r="A23" t="s">
        <v>202</v>
      </c>
    </row>
    <row r="24" spans="1:1" x14ac:dyDescent="0.35">
      <c r="A24" t="s">
        <v>203</v>
      </c>
    </row>
    <row r="25" spans="1:1" x14ac:dyDescent="0.35">
      <c r="A25" t="s">
        <v>214</v>
      </c>
    </row>
    <row r="26" spans="1:1" x14ac:dyDescent="0.35">
      <c r="A26" t="s">
        <v>205</v>
      </c>
    </row>
    <row r="28" spans="1:1" x14ac:dyDescent="0.35">
      <c r="A28" t="s">
        <v>206</v>
      </c>
    </row>
    <row r="29" spans="1:1" x14ac:dyDescent="0.35">
      <c r="A29" t="s">
        <v>207</v>
      </c>
    </row>
    <row r="30" spans="1:1" x14ac:dyDescent="0.35">
      <c r="A30" t="s">
        <v>208</v>
      </c>
    </row>
    <row r="31" spans="1:1" x14ac:dyDescent="0.35">
      <c r="A31" t="s">
        <v>206</v>
      </c>
    </row>
    <row r="32" spans="1:1" x14ac:dyDescent="0.35">
      <c r="A32" t="s">
        <v>209</v>
      </c>
    </row>
    <row r="33" spans="1:1" x14ac:dyDescent="0.35">
      <c r="A33" t="s">
        <v>215</v>
      </c>
    </row>
    <row r="34" spans="1:1" x14ac:dyDescent="0.35">
      <c r="A34" t="s">
        <v>216</v>
      </c>
    </row>
    <row r="35" spans="1:1" x14ac:dyDescent="0.35">
      <c r="A35" t="s">
        <v>212</v>
      </c>
    </row>
    <row r="36" spans="1:1" x14ac:dyDescent="0.35">
      <c r="A36" t="s">
        <v>217</v>
      </c>
    </row>
    <row r="37" spans="1:1" x14ac:dyDescent="0.35">
      <c r="A37" t="s">
        <v>206</v>
      </c>
    </row>
    <row r="39" spans="1:1" x14ac:dyDescent="0.35">
      <c r="A39" t="s">
        <v>202</v>
      </c>
    </row>
    <row r="40" spans="1:1" x14ac:dyDescent="0.35">
      <c r="A40" t="s">
        <v>203</v>
      </c>
    </row>
    <row r="41" spans="1:1" x14ac:dyDescent="0.35">
      <c r="A41" t="s">
        <v>218</v>
      </c>
    </row>
    <row r="42" spans="1:1" x14ac:dyDescent="0.35">
      <c r="A42" t="s">
        <v>205</v>
      </c>
    </row>
    <row r="44" spans="1:1" x14ac:dyDescent="0.35">
      <c r="A44" t="s">
        <v>206</v>
      </c>
    </row>
    <row r="45" spans="1:1" x14ac:dyDescent="0.35">
      <c r="A45" t="s">
        <v>207</v>
      </c>
    </row>
    <row r="46" spans="1:1" x14ac:dyDescent="0.35">
      <c r="A46" t="s">
        <v>208</v>
      </c>
    </row>
    <row r="47" spans="1:1" x14ac:dyDescent="0.35">
      <c r="A47" t="s">
        <v>206</v>
      </c>
    </row>
    <row r="48" spans="1:1" x14ac:dyDescent="0.35">
      <c r="A48" t="s">
        <v>209</v>
      </c>
    </row>
    <row r="49" spans="1:1" x14ac:dyDescent="0.35">
      <c r="A49" t="s">
        <v>219</v>
      </c>
    </row>
    <row r="50" spans="1:1" x14ac:dyDescent="0.35">
      <c r="A50" t="s">
        <v>220</v>
      </c>
    </row>
    <row r="51" spans="1:1" x14ac:dyDescent="0.35">
      <c r="A51" t="s">
        <v>212</v>
      </c>
    </row>
    <row r="52" spans="1:1" x14ac:dyDescent="0.35">
      <c r="A52" t="s">
        <v>221</v>
      </c>
    </row>
    <row r="53" spans="1:1" x14ac:dyDescent="0.35">
      <c r="A53" t="s">
        <v>206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selection activeCell="A17" sqref="A17:E17"/>
    </sheetView>
  </sheetViews>
  <sheetFormatPr defaultColWidth="10.90625" defaultRowHeight="14.5" x14ac:dyDescent="0.35"/>
  <sheetData>
    <row r="1" spans="1:10" x14ac:dyDescent="0.35">
      <c r="A1" t="s">
        <v>49</v>
      </c>
      <c r="B1" t="s">
        <v>20</v>
      </c>
      <c r="C1" t="s">
        <v>56</v>
      </c>
      <c r="D1" t="s">
        <v>21</v>
      </c>
      <c r="E1" t="s">
        <v>57</v>
      </c>
      <c r="G1" t="s">
        <v>167</v>
      </c>
      <c r="H1" t="s">
        <v>127</v>
      </c>
      <c r="I1" t="s">
        <v>172</v>
      </c>
      <c r="J1" t="s">
        <v>173</v>
      </c>
    </row>
    <row r="2" spans="1:10" x14ac:dyDescent="0.35">
      <c r="A2" t="s">
        <v>4</v>
      </c>
      <c r="B2">
        <v>12694</v>
      </c>
      <c r="C2" t="s">
        <v>25</v>
      </c>
      <c r="D2">
        <v>669</v>
      </c>
      <c r="E2" t="s">
        <v>26</v>
      </c>
      <c r="G2" t="s">
        <v>132</v>
      </c>
      <c r="H2">
        <v>29441</v>
      </c>
      <c r="I2" t="s">
        <v>133</v>
      </c>
      <c r="J2" t="s">
        <v>134</v>
      </c>
    </row>
    <row r="3" spans="1:10" x14ac:dyDescent="0.35">
      <c r="A3" t="s">
        <v>5</v>
      </c>
      <c r="B3">
        <v>15064</v>
      </c>
      <c r="C3" t="s">
        <v>27</v>
      </c>
      <c r="D3">
        <v>1014</v>
      </c>
      <c r="E3" t="s">
        <v>28</v>
      </c>
      <c r="G3" t="s">
        <v>4</v>
      </c>
      <c r="H3">
        <v>13363</v>
      </c>
      <c r="I3" t="s">
        <v>25</v>
      </c>
      <c r="J3" t="s">
        <v>135</v>
      </c>
    </row>
    <row r="4" spans="1:10" x14ac:dyDescent="0.35">
      <c r="A4" t="s">
        <v>8</v>
      </c>
      <c r="B4">
        <v>1811</v>
      </c>
      <c r="C4" t="s">
        <v>29</v>
      </c>
      <c r="D4">
        <v>17</v>
      </c>
      <c r="E4" t="s">
        <v>30</v>
      </c>
      <c r="G4" t="s">
        <v>5</v>
      </c>
      <c r="H4">
        <v>16078</v>
      </c>
      <c r="I4" t="s">
        <v>136</v>
      </c>
      <c r="J4" t="s">
        <v>137</v>
      </c>
    </row>
    <row r="5" spans="1:10" x14ac:dyDescent="0.35">
      <c r="A5" t="s">
        <v>9</v>
      </c>
      <c r="B5">
        <v>8960</v>
      </c>
      <c r="C5" t="s">
        <v>31</v>
      </c>
      <c r="D5">
        <v>134</v>
      </c>
      <c r="E5" t="s">
        <v>32</v>
      </c>
      <c r="G5" t="s">
        <v>132</v>
      </c>
      <c r="H5">
        <v>29443</v>
      </c>
      <c r="I5" t="s">
        <v>133</v>
      </c>
      <c r="J5" t="s">
        <v>134</v>
      </c>
    </row>
    <row r="6" spans="1:10" x14ac:dyDescent="0.35">
      <c r="A6" t="s">
        <v>10</v>
      </c>
      <c r="B6">
        <v>4148</v>
      </c>
      <c r="C6" t="s">
        <v>33</v>
      </c>
      <c r="D6">
        <v>145</v>
      </c>
      <c r="E6" t="s">
        <v>34</v>
      </c>
      <c r="G6" t="s">
        <v>138</v>
      </c>
      <c r="H6">
        <v>1828</v>
      </c>
      <c r="I6" t="s">
        <v>139</v>
      </c>
      <c r="J6" t="s">
        <v>140</v>
      </c>
    </row>
    <row r="7" spans="1:10" x14ac:dyDescent="0.35">
      <c r="A7" t="s">
        <v>11</v>
      </c>
      <c r="B7">
        <v>4866</v>
      </c>
      <c r="C7" t="s">
        <v>35</v>
      </c>
      <c r="D7">
        <v>419</v>
      </c>
      <c r="E7" t="s">
        <v>36</v>
      </c>
      <c r="G7" t="s">
        <v>141</v>
      </c>
      <c r="H7">
        <v>9094</v>
      </c>
      <c r="I7" t="s">
        <v>142</v>
      </c>
      <c r="J7" t="s">
        <v>143</v>
      </c>
    </row>
    <row r="8" spans="1:10" x14ac:dyDescent="0.35">
      <c r="A8" t="s">
        <v>12</v>
      </c>
      <c r="B8">
        <v>4463</v>
      </c>
      <c r="C8" t="s">
        <v>37</v>
      </c>
      <c r="D8">
        <v>543</v>
      </c>
      <c r="E8" t="s">
        <v>38</v>
      </c>
      <c r="G8" t="s">
        <v>144</v>
      </c>
      <c r="H8">
        <v>4293</v>
      </c>
      <c r="I8" t="s">
        <v>145</v>
      </c>
      <c r="J8" t="s">
        <v>146</v>
      </c>
    </row>
    <row r="9" spans="1:10" x14ac:dyDescent="0.35">
      <c r="A9" t="s">
        <v>14</v>
      </c>
      <c r="B9">
        <v>3512</v>
      </c>
      <c r="C9" t="s">
        <v>39</v>
      </c>
      <c r="D9">
        <v>425</v>
      </c>
      <c r="E9" t="s">
        <v>40</v>
      </c>
      <c r="G9" t="s">
        <v>147</v>
      </c>
      <c r="H9">
        <v>5285</v>
      </c>
      <c r="I9" t="s">
        <v>35</v>
      </c>
      <c r="J9" t="s">
        <v>148</v>
      </c>
    </row>
    <row r="10" spans="1:10" x14ac:dyDescent="0.35">
      <c r="A10" t="s">
        <v>15</v>
      </c>
      <c r="B10">
        <v>18282</v>
      </c>
      <c r="C10" t="s">
        <v>41</v>
      </c>
      <c r="D10">
        <v>1347</v>
      </c>
      <c r="E10" t="s">
        <v>42</v>
      </c>
      <c r="G10" t="s">
        <v>149</v>
      </c>
      <c r="H10">
        <v>5006</v>
      </c>
      <c r="I10" t="s">
        <v>37</v>
      </c>
      <c r="J10" t="s">
        <v>150</v>
      </c>
    </row>
    <row r="11" spans="1:10" x14ac:dyDescent="0.35">
      <c r="A11" t="s">
        <v>16</v>
      </c>
      <c r="B11">
        <v>2983</v>
      </c>
      <c r="C11" t="s">
        <v>43</v>
      </c>
      <c r="D11">
        <v>173</v>
      </c>
      <c r="E11" t="s">
        <v>44</v>
      </c>
      <c r="G11" t="s">
        <v>151</v>
      </c>
      <c r="H11">
        <v>3937</v>
      </c>
      <c r="I11" t="s">
        <v>152</v>
      </c>
      <c r="J11" t="s">
        <v>153</v>
      </c>
    </row>
    <row r="12" spans="1:10" x14ac:dyDescent="0.35">
      <c r="A12" t="s">
        <v>17</v>
      </c>
      <c r="B12">
        <v>3989</v>
      </c>
      <c r="C12" t="s">
        <v>45</v>
      </c>
      <c r="D12">
        <v>90</v>
      </c>
      <c r="E12" t="s">
        <v>46</v>
      </c>
      <c r="G12" t="s">
        <v>154</v>
      </c>
      <c r="H12">
        <v>29443</v>
      </c>
      <c r="I12" t="s">
        <v>133</v>
      </c>
      <c r="J12" t="s">
        <v>134</v>
      </c>
    </row>
    <row r="13" spans="1:10" x14ac:dyDescent="0.35">
      <c r="A13" t="s">
        <v>18</v>
      </c>
      <c r="B13">
        <v>2506</v>
      </c>
      <c r="C13" t="s">
        <v>47</v>
      </c>
      <c r="D13">
        <v>73</v>
      </c>
      <c r="E13" t="s">
        <v>48</v>
      </c>
      <c r="G13" t="s">
        <v>155</v>
      </c>
      <c r="H13">
        <v>19629</v>
      </c>
      <c r="I13" t="s">
        <v>156</v>
      </c>
      <c r="J13" t="s">
        <v>157</v>
      </c>
    </row>
    <row r="14" spans="1:10" x14ac:dyDescent="0.35">
      <c r="G14" t="s">
        <v>158</v>
      </c>
      <c r="H14">
        <v>3156</v>
      </c>
      <c r="I14" t="s">
        <v>159</v>
      </c>
      <c r="J14" t="s">
        <v>160</v>
      </c>
    </row>
    <row r="15" spans="1:10" x14ac:dyDescent="0.35">
      <c r="G15" t="s">
        <v>161</v>
      </c>
      <c r="H15">
        <v>4079</v>
      </c>
      <c r="I15" t="s">
        <v>162</v>
      </c>
      <c r="J15" t="s">
        <v>163</v>
      </c>
    </row>
    <row r="16" spans="1:10" x14ac:dyDescent="0.35">
      <c r="G16" t="s">
        <v>164</v>
      </c>
      <c r="H16">
        <v>2579</v>
      </c>
      <c r="I16" t="s">
        <v>165</v>
      </c>
      <c r="J16" t="s">
        <v>166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topLeftCell="B1" workbookViewId="0">
      <selection activeCell="M3" sqref="M3:P16"/>
    </sheetView>
  </sheetViews>
  <sheetFormatPr defaultColWidth="10.90625" defaultRowHeight="14.5" x14ac:dyDescent="0.35"/>
  <cols>
    <col min="13" max="16" width="16.7265625" bestFit="1" customWidth="1"/>
  </cols>
  <sheetData>
    <row r="1" spans="1:16" x14ac:dyDescent="0.35">
      <c r="A1" t="s">
        <v>49</v>
      </c>
      <c r="B1" t="s">
        <v>58</v>
      </c>
      <c r="C1" t="s">
        <v>59</v>
      </c>
      <c r="D1" t="s">
        <v>60</v>
      </c>
      <c r="E1" t="s">
        <v>61</v>
      </c>
      <c r="G1" t="s">
        <v>167</v>
      </c>
      <c r="H1" t="s">
        <v>174</v>
      </c>
      <c r="I1" t="s">
        <v>175</v>
      </c>
      <c r="J1" t="s">
        <v>176</v>
      </c>
      <c r="K1" t="s">
        <v>177</v>
      </c>
    </row>
    <row r="2" spans="1:16" x14ac:dyDescent="0.35">
      <c r="G2" t="s">
        <v>132</v>
      </c>
      <c r="H2">
        <v>95.37263868977567</v>
      </c>
      <c r="I2">
        <v>0.14206870650376111</v>
      </c>
      <c r="J2">
        <v>4.6273613102246838</v>
      </c>
      <c r="K2">
        <v>0.1420687065037618</v>
      </c>
    </row>
    <row r="3" spans="1:16" x14ac:dyDescent="0.35">
      <c r="A3" t="s">
        <v>4</v>
      </c>
      <c r="B3">
        <v>96.045625568362993</v>
      </c>
      <c r="C3">
        <v>0.19034462240657901</v>
      </c>
      <c r="D3">
        <v>3.9543744316369902</v>
      </c>
      <c r="E3">
        <v>0.19034462240657901</v>
      </c>
      <c r="G3" t="s">
        <v>4</v>
      </c>
      <c r="H3">
        <v>96.045625568363164</v>
      </c>
      <c r="I3">
        <v>0.19034462240657779</v>
      </c>
      <c r="J3">
        <v>3.9543744316369742</v>
      </c>
      <c r="K3">
        <v>0.19034462240657807</v>
      </c>
      <c r="M3" s="9">
        <f>B3-H3</f>
        <v>-1.7053025658242404E-13</v>
      </c>
      <c r="N3" s="9">
        <f t="shared" ref="N3:P3" si="0">C3-I3</f>
        <v>1.2212453270876722E-15</v>
      </c>
      <c r="O3" s="9">
        <f t="shared" si="0"/>
        <v>1.5987211554602254E-14</v>
      </c>
      <c r="P3" s="9">
        <f t="shared" si="0"/>
        <v>9.4368957093138306E-16</v>
      </c>
    </row>
    <row r="4" spans="1:16" x14ac:dyDescent="0.35">
      <c r="A4" t="s">
        <v>5</v>
      </c>
      <c r="B4">
        <v>94.743815821046397</v>
      </c>
      <c r="C4">
        <v>0.19606118009564899</v>
      </c>
      <c r="D4">
        <v>5.2561841789535801</v>
      </c>
      <c r="E4">
        <v>0.19606118009564899</v>
      </c>
      <c r="G4" t="s">
        <v>5</v>
      </c>
      <c r="H4">
        <v>94.743815821046439</v>
      </c>
      <c r="I4">
        <v>0.1960611800956496</v>
      </c>
      <c r="J4">
        <v>5.2561841789535917</v>
      </c>
      <c r="K4">
        <v>0.19606118009564966</v>
      </c>
      <c r="M4" s="9">
        <f t="shared" ref="M4:M16" si="1">B4-H4</f>
        <v>0</v>
      </c>
      <c r="N4" s="9">
        <f t="shared" ref="N4:N16" si="2">C4-I4</f>
        <v>-6.106226635438361E-16</v>
      </c>
      <c r="O4" s="9">
        <f t="shared" ref="O4:O16" si="3">D4-J4</f>
        <v>-1.1546319456101628E-14</v>
      </c>
      <c r="P4" s="9">
        <f t="shared" ref="P4:P16" si="4">E4-K4</f>
        <v>-6.6613381477509392E-16</v>
      </c>
    </row>
    <row r="5" spans="1:16" x14ac:dyDescent="0.35">
      <c r="G5" t="s">
        <v>132</v>
      </c>
      <c r="H5">
        <v>95.37293892250662</v>
      </c>
      <c r="I5">
        <v>0.14207100177764306</v>
      </c>
      <c r="J5">
        <v>4.627061077493722</v>
      </c>
      <c r="K5">
        <v>0.1420710017776437</v>
      </c>
      <c r="M5" s="9"/>
      <c r="N5" s="9"/>
      <c r="O5" s="9"/>
      <c r="P5" s="9"/>
    </row>
    <row r="6" spans="1:16" x14ac:dyDescent="0.35">
      <c r="A6" t="s">
        <v>8</v>
      </c>
      <c r="B6">
        <v>99.156036533642805</v>
      </c>
      <c r="C6">
        <v>0.230413567165659</v>
      </c>
      <c r="D6">
        <v>0.84396346635715902</v>
      </c>
      <c r="E6">
        <v>0.230413567165659</v>
      </c>
      <c r="G6" t="s">
        <v>138</v>
      </c>
      <c r="H6">
        <v>99.156036533642848</v>
      </c>
      <c r="I6">
        <v>0.23041356716565828</v>
      </c>
      <c r="J6">
        <v>0.84396346635715636</v>
      </c>
      <c r="K6">
        <v>0.23041356716565828</v>
      </c>
      <c r="M6" s="9">
        <f t="shared" si="1"/>
        <v>0</v>
      </c>
      <c r="N6" s="9">
        <f t="shared" si="2"/>
        <v>7.2164496600635175E-16</v>
      </c>
      <c r="O6" s="9">
        <f t="shared" si="3"/>
        <v>2.6645352591003757E-15</v>
      </c>
      <c r="P6" s="9">
        <f t="shared" si="4"/>
        <v>7.2164496600635175E-16</v>
      </c>
    </row>
    <row r="7" spans="1:16" x14ac:dyDescent="0.35">
      <c r="A7" t="s">
        <v>9</v>
      </c>
      <c r="B7">
        <v>98.572361439237199</v>
      </c>
      <c r="C7">
        <v>0.14169347550599301</v>
      </c>
      <c r="D7">
        <v>1.42763856076278</v>
      </c>
      <c r="E7">
        <v>0.14169347550599301</v>
      </c>
      <c r="G7" t="s">
        <v>141</v>
      </c>
      <c r="H7">
        <v>98.57236143923727</v>
      </c>
      <c r="I7">
        <v>0.14169347550599329</v>
      </c>
      <c r="J7">
        <v>1.4276385607627757</v>
      </c>
      <c r="K7">
        <v>0.14169347550599329</v>
      </c>
      <c r="M7" s="9">
        <f t="shared" si="1"/>
        <v>0</v>
      </c>
      <c r="N7" s="9">
        <f t="shared" si="2"/>
        <v>-2.7755575615628914E-16</v>
      </c>
      <c r="O7" s="9">
        <f t="shared" si="3"/>
        <v>4.2188474935755949E-15</v>
      </c>
      <c r="P7" s="9">
        <f t="shared" si="4"/>
        <v>-2.7755575615628914E-16</v>
      </c>
    </row>
    <row r="8" spans="1:16" x14ac:dyDescent="0.35">
      <c r="A8" t="s">
        <v>10</v>
      </c>
      <c r="B8">
        <v>96.843348519119004</v>
      </c>
      <c r="C8">
        <v>0.28209577847352402</v>
      </c>
      <c r="D8">
        <v>3.156651480881</v>
      </c>
      <c r="E8">
        <v>0.28209577847352402</v>
      </c>
      <c r="G8" t="s">
        <v>144</v>
      </c>
      <c r="H8">
        <v>96.843348519118962</v>
      </c>
      <c r="I8">
        <v>0.28209577847352463</v>
      </c>
      <c r="J8">
        <v>3.1566514808810071</v>
      </c>
      <c r="K8">
        <v>0.28209577847352463</v>
      </c>
      <c r="M8" s="9">
        <f t="shared" si="1"/>
        <v>0</v>
      </c>
      <c r="N8" s="9">
        <f t="shared" si="2"/>
        <v>-6.106226635438361E-16</v>
      </c>
      <c r="O8" s="9">
        <f t="shared" si="3"/>
        <v>-7.1054273576010019E-15</v>
      </c>
      <c r="P8" s="9">
        <f t="shared" si="4"/>
        <v>-6.106226635438361E-16</v>
      </c>
    </row>
    <row r="9" spans="1:16" x14ac:dyDescent="0.35">
      <c r="A9" t="s">
        <v>11</v>
      </c>
      <c r="B9">
        <v>92.738874416491299</v>
      </c>
      <c r="C9">
        <v>0.40502996508579098</v>
      </c>
      <c r="D9">
        <v>7.2611255835086803</v>
      </c>
      <c r="E9">
        <v>0.40502996508579098</v>
      </c>
      <c r="G9" t="s">
        <v>147</v>
      </c>
      <c r="H9">
        <v>92.738874416491456</v>
      </c>
      <c r="I9">
        <v>0.40502996508578992</v>
      </c>
      <c r="J9">
        <v>7.2611255835086528</v>
      </c>
      <c r="K9">
        <v>0.40502996508578992</v>
      </c>
      <c r="M9" s="9">
        <f t="shared" si="1"/>
        <v>-1.5631940186722204E-13</v>
      </c>
      <c r="N9" s="9">
        <f t="shared" si="2"/>
        <v>1.0547118733938987E-15</v>
      </c>
      <c r="O9" s="9">
        <f t="shared" si="3"/>
        <v>2.7533531010703882E-14</v>
      </c>
      <c r="P9" s="9">
        <f t="shared" si="4"/>
        <v>1.0547118733938987E-15</v>
      </c>
    </row>
    <row r="10" spans="1:16" x14ac:dyDescent="0.35">
      <c r="A10" t="s">
        <v>12</v>
      </c>
      <c r="B10">
        <v>90.027057972479696</v>
      </c>
      <c r="C10">
        <v>0.50186041089835298</v>
      </c>
      <c r="D10">
        <v>9.9729420275202898</v>
      </c>
      <c r="E10">
        <v>0.50186041089835298</v>
      </c>
      <c r="G10" t="s">
        <v>149</v>
      </c>
      <c r="H10">
        <v>90.027057972479668</v>
      </c>
      <c r="I10">
        <v>0.50186041089835243</v>
      </c>
      <c r="J10">
        <v>9.9729420275202649</v>
      </c>
      <c r="K10">
        <v>0.50186041089835243</v>
      </c>
      <c r="M10" s="9">
        <f t="shared" si="1"/>
        <v>0</v>
      </c>
      <c r="N10" s="9">
        <f t="shared" si="2"/>
        <v>0</v>
      </c>
      <c r="O10" s="9">
        <f t="shared" si="3"/>
        <v>2.4868995751603507E-14</v>
      </c>
      <c r="P10" s="9">
        <f t="shared" si="4"/>
        <v>0</v>
      </c>
    </row>
    <row r="11" spans="1:16" x14ac:dyDescent="0.35">
      <c r="A11" t="s">
        <v>14</v>
      </c>
      <c r="B11">
        <v>88.662416716928007</v>
      </c>
      <c r="C11">
        <v>0.63377699554351696</v>
      </c>
      <c r="D11">
        <v>11.337583283072</v>
      </c>
      <c r="E11">
        <v>0.63377699554351696</v>
      </c>
      <c r="G11" t="s">
        <v>151</v>
      </c>
      <c r="H11">
        <v>88.662416716927922</v>
      </c>
      <c r="I11">
        <v>0.63377699554351685</v>
      </c>
      <c r="J11">
        <v>11.337583283072034</v>
      </c>
      <c r="K11">
        <v>0.63377699554351696</v>
      </c>
      <c r="M11" s="9">
        <f t="shared" si="1"/>
        <v>0</v>
      </c>
      <c r="N11" s="9">
        <f t="shared" si="2"/>
        <v>0</v>
      </c>
      <c r="O11" s="9">
        <f t="shared" si="3"/>
        <v>-3.3750779948604759E-14</v>
      </c>
      <c r="P11" s="9">
        <f t="shared" si="4"/>
        <v>0</v>
      </c>
    </row>
    <row r="12" spans="1:16" x14ac:dyDescent="0.35">
      <c r="G12" t="s">
        <v>154</v>
      </c>
      <c r="H12">
        <v>95.37293892250662</v>
      </c>
      <c r="I12">
        <v>0.14207100177764306</v>
      </c>
      <c r="J12">
        <v>4.627061077493722</v>
      </c>
      <c r="K12">
        <v>0.1420710017776437</v>
      </c>
      <c r="M12" s="9"/>
      <c r="N12" s="9"/>
      <c r="O12" s="9"/>
      <c r="P12" s="9"/>
    </row>
    <row r="13" spans="1:16" x14ac:dyDescent="0.35">
      <c r="A13" t="s">
        <v>15</v>
      </c>
      <c r="B13">
        <v>94.263307789243598</v>
      </c>
      <c r="C13">
        <v>0.19711537130520301</v>
      </c>
      <c r="D13">
        <v>5.7366922107563596</v>
      </c>
      <c r="E13">
        <v>0.19711537130520301</v>
      </c>
      <c r="G13" t="s">
        <v>155</v>
      </c>
      <c r="H13">
        <v>94.26330778924374</v>
      </c>
      <c r="I13">
        <v>0.19711537130520299</v>
      </c>
      <c r="J13">
        <v>5.7366922107563765</v>
      </c>
      <c r="K13">
        <v>0.19711537130520318</v>
      </c>
      <c r="M13" s="9">
        <f t="shared" si="1"/>
        <v>-1.4210854715202004E-13</v>
      </c>
      <c r="N13" s="9">
        <f t="shared" si="2"/>
        <v>0</v>
      </c>
      <c r="O13" s="9">
        <f t="shared" si="3"/>
        <v>-1.6875389974302379E-14</v>
      </c>
      <c r="P13" s="9">
        <f t="shared" si="4"/>
        <v>0</v>
      </c>
    </row>
    <row r="14" spans="1:16" x14ac:dyDescent="0.35">
      <c r="A14" t="s">
        <v>16</v>
      </c>
      <c r="B14">
        <v>95.647661400691703</v>
      </c>
      <c r="C14">
        <v>0.40257998969271003</v>
      </c>
      <c r="D14">
        <v>4.3523385993083297</v>
      </c>
      <c r="E14">
        <v>0.40257998969271003</v>
      </c>
      <c r="G14" t="s">
        <v>158</v>
      </c>
      <c r="H14">
        <v>95.647661400691703</v>
      </c>
      <c r="I14">
        <v>0.40257998969270942</v>
      </c>
      <c r="J14">
        <v>4.352338599308327</v>
      </c>
      <c r="K14">
        <v>0.40257998969270953</v>
      </c>
      <c r="M14" s="9">
        <f t="shared" si="1"/>
        <v>0</v>
      </c>
      <c r="N14" s="9">
        <f t="shared" si="2"/>
        <v>6.106226635438361E-16</v>
      </c>
      <c r="O14" s="9">
        <f t="shared" si="3"/>
        <v>0</v>
      </c>
      <c r="P14" s="9">
        <f t="shared" si="4"/>
        <v>4.9960036108132044E-16</v>
      </c>
    </row>
    <row r="15" spans="1:16" x14ac:dyDescent="0.35">
      <c r="A15" t="s">
        <v>17</v>
      </c>
      <c r="B15">
        <v>98.100473829684304</v>
      </c>
      <c r="C15">
        <v>0.23401867616668101</v>
      </c>
      <c r="D15">
        <v>1.89952617031569</v>
      </c>
      <c r="E15">
        <v>0.23401867616668101</v>
      </c>
      <c r="G15" t="s">
        <v>161</v>
      </c>
      <c r="H15">
        <v>98.100473829684304</v>
      </c>
      <c r="I15">
        <v>0.23401867616668062</v>
      </c>
      <c r="J15">
        <v>1.8995261703156934</v>
      </c>
      <c r="K15">
        <v>0.23401867616668062</v>
      </c>
      <c r="M15" s="9">
        <f t="shared" si="1"/>
        <v>0</v>
      </c>
      <c r="N15" s="9">
        <f t="shared" si="2"/>
        <v>3.8857805861880479E-16</v>
      </c>
      <c r="O15" s="9">
        <f t="shared" si="3"/>
        <v>-3.3306690738754696E-15</v>
      </c>
      <c r="P15" s="9">
        <f t="shared" si="4"/>
        <v>3.8857805861880479E-16</v>
      </c>
    </row>
    <row r="16" spans="1:16" x14ac:dyDescent="0.35">
      <c r="A16" t="s">
        <v>18</v>
      </c>
      <c r="B16">
        <v>97.727451646601594</v>
      </c>
      <c r="C16">
        <v>0.300211164430987</v>
      </c>
      <c r="D16">
        <v>2.2725483533984399</v>
      </c>
      <c r="E16">
        <v>0.300211164430987</v>
      </c>
      <c r="G16" t="s">
        <v>164</v>
      </c>
      <c r="H16">
        <v>97.727451646601466</v>
      </c>
      <c r="I16">
        <v>0.30021116443098644</v>
      </c>
      <c r="J16">
        <v>2.2725483533984323</v>
      </c>
      <c r="K16">
        <v>0.30021116443098633</v>
      </c>
      <c r="M16" s="9">
        <f t="shared" si="1"/>
        <v>1.2789769243681803E-13</v>
      </c>
      <c r="N16" s="9">
        <f t="shared" si="2"/>
        <v>5.5511151231257827E-16</v>
      </c>
      <c r="O16" s="9">
        <f t="shared" si="3"/>
        <v>7.5495165674510645E-15</v>
      </c>
      <c r="P16" s="9">
        <f t="shared" si="4"/>
        <v>6.6613381477509392E-16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"/>
  <sheetViews>
    <sheetView topLeftCell="C16" workbookViewId="0">
      <selection activeCell="N24" sqref="N24:P25"/>
    </sheetView>
  </sheetViews>
  <sheetFormatPr defaultColWidth="10.90625" defaultRowHeight="14.5" x14ac:dyDescent="0.35"/>
  <cols>
    <col min="2" max="2" width="40" customWidth="1"/>
    <col min="14" max="14" width="15.453125" bestFit="1" customWidth="1"/>
    <col min="15" max="16" width="15.08984375" bestFit="1" customWidth="1"/>
  </cols>
  <sheetData>
    <row r="1" spans="1:16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</row>
    <row r="2" spans="1:16" x14ac:dyDescent="0.35">
      <c r="A2">
        <v>1</v>
      </c>
      <c r="B2" t="s">
        <v>67</v>
      </c>
      <c r="C2">
        <v>1.3018097473165999</v>
      </c>
      <c r="D2">
        <v>0.27326006224767202</v>
      </c>
      <c r="E2">
        <v>2.3911653535515701E-6</v>
      </c>
      <c r="H2">
        <v>1</v>
      </c>
      <c r="I2" t="s">
        <v>67</v>
      </c>
      <c r="J2">
        <v>1.3018097473167178</v>
      </c>
      <c r="K2">
        <v>0.26247082465974003</v>
      </c>
      <c r="L2">
        <v>9.2349483459084818E-7</v>
      </c>
      <c r="N2" s="5">
        <f>C2-J2</f>
        <v>-1.1790568521519162E-13</v>
      </c>
      <c r="O2" s="5">
        <f t="shared" ref="O2:P2" si="0">D2-K2</f>
        <v>1.0789237587931988E-2</v>
      </c>
      <c r="P2" s="5">
        <f t="shared" si="0"/>
        <v>1.4676705189607221E-6</v>
      </c>
    </row>
    <row r="3" spans="1:16" x14ac:dyDescent="0.35">
      <c r="A3">
        <v>2</v>
      </c>
      <c r="B3" t="s">
        <v>68</v>
      </c>
      <c r="C3">
        <v>0.58367509440562104</v>
      </c>
      <c r="D3">
        <v>0.270494829774935</v>
      </c>
      <c r="E3">
        <v>3.1345186349367303E-2</v>
      </c>
      <c r="H3">
        <v>2</v>
      </c>
      <c r="I3" t="s">
        <v>68</v>
      </c>
      <c r="J3">
        <v>0.58367509440557797</v>
      </c>
      <c r="K3">
        <v>0.27407213397540192</v>
      </c>
      <c r="L3">
        <v>3.3613886613205572E-2</v>
      </c>
      <c r="N3" s="5">
        <f t="shared" ref="N3:N26" si="1">C3-J3</f>
        <v>4.3076653355456074E-14</v>
      </c>
      <c r="O3" s="5">
        <f t="shared" ref="O3:O26" si="2">D3-K3</f>
        <v>-3.5773042004669242E-3</v>
      </c>
      <c r="P3" s="5">
        <f t="shared" ref="P3:P26" si="3">E3-L3</f>
        <v>-2.2687002638382692E-3</v>
      </c>
    </row>
    <row r="4" spans="1:16" x14ac:dyDescent="0.35">
      <c r="A4">
        <v>3</v>
      </c>
      <c r="B4" t="s">
        <v>69</v>
      </c>
      <c r="C4">
        <v>2.31268801452384</v>
      </c>
      <c r="D4">
        <v>0.36423679134127501</v>
      </c>
      <c r="E4">
        <v>4.31109631883783E-10</v>
      </c>
      <c r="H4">
        <v>3</v>
      </c>
      <c r="I4" t="s">
        <v>69</v>
      </c>
      <c r="J4">
        <v>2.3126880145238782</v>
      </c>
      <c r="K4">
        <v>0.36603256207652823</v>
      </c>
      <c r="L4">
        <v>5.2087462399936696E-10</v>
      </c>
      <c r="N4" s="5">
        <f t="shared" si="1"/>
        <v>-3.8191672047105385E-14</v>
      </c>
      <c r="O4" s="5">
        <f t="shared" si="2"/>
        <v>-1.7957707352532215E-3</v>
      </c>
      <c r="P4" s="5">
        <f t="shared" si="3"/>
        <v>-8.9764992115583958E-11</v>
      </c>
    </row>
    <row r="5" spans="1:16" x14ac:dyDescent="0.35">
      <c r="A5">
        <v>4</v>
      </c>
      <c r="B5" t="s">
        <v>70</v>
      </c>
      <c r="C5">
        <v>6.4171621171515199</v>
      </c>
      <c r="D5">
        <v>0.46598249382503698</v>
      </c>
      <c r="E5">
        <v>1.27245143049951E-37</v>
      </c>
      <c r="H5">
        <v>4</v>
      </c>
      <c r="I5" t="s">
        <v>70</v>
      </c>
      <c r="J5">
        <v>6.4171621171513866</v>
      </c>
      <c r="K5">
        <v>0.46450191732992596</v>
      </c>
      <c r="L5">
        <v>8.0296631899246851E-38</v>
      </c>
      <c r="N5" s="5">
        <f t="shared" si="1"/>
        <v>1.3322676295501878E-13</v>
      </c>
      <c r="O5" s="5">
        <f t="shared" si="2"/>
        <v>1.480576495111019E-3</v>
      </c>
      <c r="P5" s="5">
        <f t="shared" si="3"/>
        <v>4.6948511150704154E-38</v>
      </c>
    </row>
    <row r="6" spans="1:16" x14ac:dyDescent="0.35">
      <c r="A6">
        <v>5</v>
      </c>
      <c r="B6" t="s">
        <v>71</v>
      </c>
      <c r="C6">
        <v>9.1289785611631409</v>
      </c>
      <c r="D6">
        <v>0.55222665995138898</v>
      </c>
      <c r="E6">
        <v>9.7041026090235394E-51</v>
      </c>
      <c r="H6">
        <v>5</v>
      </c>
      <c r="I6" t="s">
        <v>71</v>
      </c>
      <c r="J6">
        <v>9.1289785611631817</v>
      </c>
      <c r="K6">
        <v>0.54121158065409147</v>
      </c>
      <c r="L6">
        <v>2.1050231661094877E-52</v>
      </c>
      <c r="N6" s="5">
        <f t="shared" si="1"/>
        <v>-4.0856207306205761E-14</v>
      </c>
      <c r="O6" s="5">
        <f t="shared" si="2"/>
        <v>1.1015079297297503E-2</v>
      </c>
      <c r="P6" s="5">
        <f t="shared" si="3"/>
        <v>9.4936002924125903E-51</v>
      </c>
    </row>
    <row r="7" spans="1:16" x14ac:dyDescent="0.35">
      <c r="A7">
        <v>6</v>
      </c>
      <c r="B7" t="s">
        <v>72</v>
      </c>
      <c r="C7">
        <v>10.493619816714901</v>
      </c>
      <c r="D7">
        <v>0.67436169227957399</v>
      </c>
      <c r="E7">
        <v>5.1832072088412497E-46</v>
      </c>
      <c r="H7">
        <v>6</v>
      </c>
      <c r="I7" t="s">
        <v>72</v>
      </c>
      <c r="J7">
        <v>10.493619816714927</v>
      </c>
      <c r="K7">
        <v>0.6563222090318146</v>
      </c>
      <c r="L7">
        <v>4.4110067893209851E-48</v>
      </c>
      <c r="N7" s="5">
        <f t="shared" si="1"/>
        <v>-2.6645352591003757E-14</v>
      </c>
      <c r="O7" s="5">
        <f t="shared" si="2"/>
        <v>1.8039483247759391E-2</v>
      </c>
      <c r="P7" s="5">
        <f t="shared" si="3"/>
        <v>5.1390971409480396E-46</v>
      </c>
    </row>
    <row r="8" spans="1:16" x14ac:dyDescent="0.35">
      <c r="A8">
        <v>7</v>
      </c>
      <c r="B8" t="s">
        <v>73</v>
      </c>
      <c r="C8">
        <v>1.7290129201182201</v>
      </c>
      <c r="D8">
        <v>0.31568191147664898</v>
      </c>
      <c r="E8">
        <v>6.4038838598172699E-8</v>
      </c>
      <c r="H8">
        <v>7</v>
      </c>
      <c r="I8" t="s">
        <v>73</v>
      </c>
      <c r="J8">
        <v>1.7290129201183002</v>
      </c>
      <c r="K8">
        <v>0.31780402659778467</v>
      </c>
      <c r="L8">
        <v>7.7908919529559503E-8</v>
      </c>
      <c r="N8" s="5">
        <f t="shared" si="1"/>
        <v>-8.0158102377936302E-14</v>
      </c>
      <c r="O8" s="5">
        <f t="shared" si="2"/>
        <v>-2.1221151211356926E-3</v>
      </c>
      <c r="P8" s="5">
        <f t="shared" si="3"/>
        <v>-1.3870080931386805E-8</v>
      </c>
    </row>
    <row r="9" spans="1:16" x14ac:dyDescent="0.35">
      <c r="A9">
        <v>8</v>
      </c>
      <c r="B9" t="s">
        <v>74</v>
      </c>
      <c r="C9">
        <v>5.8334870227459001</v>
      </c>
      <c r="D9">
        <v>0.42909942160106002</v>
      </c>
      <c r="E9">
        <v>8.0441851627083796E-37</v>
      </c>
      <c r="H9">
        <v>8</v>
      </c>
      <c r="I9" t="s">
        <v>74</v>
      </c>
      <c r="J9">
        <v>5.8334870227458087</v>
      </c>
      <c r="K9">
        <v>0.42637935594444637</v>
      </c>
      <c r="L9">
        <v>3.256092375995731E-37</v>
      </c>
      <c r="N9" s="5">
        <f t="shared" si="1"/>
        <v>9.1482377229112899E-14</v>
      </c>
      <c r="O9" s="5">
        <f t="shared" si="2"/>
        <v>2.7200656566136461E-3</v>
      </c>
      <c r="P9" s="5">
        <f t="shared" si="3"/>
        <v>4.788092786712649E-37</v>
      </c>
    </row>
    <row r="10" spans="1:16" x14ac:dyDescent="0.35">
      <c r="A10">
        <v>9</v>
      </c>
      <c r="B10" t="s">
        <v>75</v>
      </c>
      <c r="C10">
        <v>8.5453034667575203</v>
      </c>
      <c r="D10">
        <v>0.52147954229100102</v>
      </c>
      <c r="E10">
        <v>4.9901122378680396E-50</v>
      </c>
      <c r="H10">
        <v>9</v>
      </c>
      <c r="I10" t="s">
        <v>75</v>
      </c>
      <c r="J10">
        <v>8.5453034667576038</v>
      </c>
      <c r="K10">
        <v>0.51753095966874108</v>
      </c>
      <c r="L10">
        <v>1.2111952908446789E-50</v>
      </c>
      <c r="N10" s="5">
        <f t="shared" si="1"/>
        <v>-8.3488771451811772E-14</v>
      </c>
      <c r="O10" s="5">
        <f t="shared" si="2"/>
        <v>3.9485826222599441E-3</v>
      </c>
      <c r="P10" s="5">
        <f t="shared" si="3"/>
        <v>3.7789169470233604E-50</v>
      </c>
    </row>
    <row r="11" spans="1:16" x14ac:dyDescent="0.35">
      <c r="A11">
        <v>10</v>
      </c>
      <c r="B11" t="s">
        <v>76</v>
      </c>
      <c r="C11">
        <v>9.9099447223092501</v>
      </c>
      <c r="D11">
        <v>0.64942306786957804</v>
      </c>
      <c r="E11">
        <v>1.4407105974085801E-44</v>
      </c>
      <c r="H11">
        <v>10</v>
      </c>
      <c r="I11" t="s">
        <v>76</v>
      </c>
      <c r="J11">
        <v>9.9099447223093495</v>
      </c>
      <c r="K11">
        <v>0.64627580962052689</v>
      </c>
      <c r="L11">
        <v>6.35957327167892E-45</v>
      </c>
      <c r="N11" s="5">
        <f t="shared" si="1"/>
        <v>-9.9475983006414026E-14</v>
      </c>
      <c r="O11" s="5">
        <f t="shared" si="2"/>
        <v>3.1472582490511547E-3</v>
      </c>
      <c r="P11" s="5">
        <f t="shared" si="3"/>
        <v>8.0475327024068809E-45</v>
      </c>
    </row>
    <row r="12" spans="1:16" x14ac:dyDescent="0.35">
      <c r="A12">
        <v>11</v>
      </c>
      <c r="B12" t="s">
        <v>77</v>
      </c>
      <c r="C12">
        <v>4.1044741026276803</v>
      </c>
      <c r="D12">
        <v>0.49358616355199902</v>
      </c>
      <c r="E12">
        <v>6.3043474173247197E-16</v>
      </c>
      <c r="H12">
        <v>11</v>
      </c>
      <c r="I12" t="s">
        <v>77</v>
      </c>
      <c r="J12">
        <v>4.1044741026275089</v>
      </c>
      <c r="K12">
        <v>0.49193209080793016</v>
      </c>
      <c r="L12">
        <v>5.1033420716229869E-16</v>
      </c>
      <c r="N12" s="5">
        <f t="shared" si="1"/>
        <v>1.7141843500212417E-13</v>
      </c>
      <c r="O12" s="5">
        <f t="shared" si="2"/>
        <v>1.6540727440688685E-3</v>
      </c>
      <c r="P12" s="5">
        <f t="shared" si="3"/>
        <v>1.2010053457017328E-16</v>
      </c>
    </row>
    <row r="13" spans="1:16" x14ac:dyDescent="0.35">
      <c r="A13">
        <v>12</v>
      </c>
      <c r="B13" t="s">
        <v>78</v>
      </c>
      <c r="C13">
        <v>6.8162905466392898</v>
      </c>
      <c r="D13">
        <v>0.57570990981539305</v>
      </c>
      <c r="E13">
        <v>3.6004806741229498E-29</v>
      </c>
      <c r="H13">
        <v>12</v>
      </c>
      <c r="I13" t="s">
        <v>78</v>
      </c>
      <c r="J13">
        <v>6.8162905466393031</v>
      </c>
      <c r="K13">
        <v>0.57518179954698012</v>
      </c>
      <c r="L13">
        <v>3.2422771598483367E-29</v>
      </c>
      <c r="N13" s="5">
        <f t="shared" si="1"/>
        <v>-1.3322676295501878E-14</v>
      </c>
      <c r="O13" s="5">
        <f t="shared" si="2"/>
        <v>5.2811026841292907E-4</v>
      </c>
      <c r="P13" s="5">
        <f t="shared" si="3"/>
        <v>3.5820351427461316E-30</v>
      </c>
    </row>
    <row r="14" spans="1:16" x14ac:dyDescent="0.35">
      <c r="A14">
        <v>13</v>
      </c>
      <c r="B14" t="s">
        <v>79</v>
      </c>
      <c r="C14">
        <v>8.1809318021910293</v>
      </c>
      <c r="D14">
        <v>0.69372278924131503</v>
      </c>
      <c r="E14">
        <v>5.6604383460135602E-29</v>
      </c>
      <c r="H14">
        <v>13</v>
      </c>
      <c r="I14" t="s">
        <v>79</v>
      </c>
      <c r="J14">
        <v>8.1809318021910489</v>
      </c>
      <c r="K14">
        <v>0.68271598881234852</v>
      </c>
      <c r="L14">
        <v>9.0196310237427915E-30</v>
      </c>
      <c r="N14" s="5">
        <f t="shared" si="1"/>
        <v>-1.9539925233402755E-14</v>
      </c>
      <c r="O14" s="5">
        <f t="shared" si="2"/>
        <v>1.1006800428966512E-2</v>
      </c>
      <c r="P14" s="5">
        <f t="shared" si="3"/>
        <v>4.7584752436392812E-29</v>
      </c>
    </row>
    <row r="15" spans="1:16" x14ac:dyDescent="0.35">
      <c r="A15">
        <v>14</v>
      </c>
      <c r="B15" t="s">
        <v>80</v>
      </c>
      <c r="C15">
        <v>2.7118164440116201</v>
      </c>
      <c r="D15">
        <v>0.64491328459294495</v>
      </c>
      <c r="E15">
        <v>3.01646210331929E-5</v>
      </c>
      <c r="H15">
        <v>14</v>
      </c>
      <c r="I15" t="s">
        <v>80</v>
      </c>
      <c r="J15">
        <v>2.7118164440117942</v>
      </c>
      <c r="K15">
        <v>0.64843843431373638</v>
      </c>
      <c r="L15">
        <v>3.3266905930435801E-5</v>
      </c>
      <c r="N15" s="5">
        <f t="shared" si="1"/>
        <v>-1.7408297026122455E-13</v>
      </c>
      <c r="O15" s="5">
        <f t="shared" si="2"/>
        <v>-3.5251497207914317E-3</v>
      </c>
      <c r="P15" s="5">
        <f t="shared" si="3"/>
        <v>-3.1022848972429008E-6</v>
      </c>
    </row>
    <row r="16" spans="1:16" x14ac:dyDescent="0.35">
      <c r="A16">
        <v>15</v>
      </c>
      <c r="B16" t="s">
        <v>81</v>
      </c>
      <c r="C16">
        <v>4.0764576995633499</v>
      </c>
      <c r="D16">
        <v>0.75214530025625004</v>
      </c>
      <c r="E16">
        <v>8.7021095529443101E-8</v>
      </c>
      <c r="H16">
        <v>15</v>
      </c>
      <c r="I16" t="s">
        <v>81</v>
      </c>
      <c r="J16">
        <v>4.0764576995635409</v>
      </c>
      <c r="K16">
        <v>0.72201878836617495</v>
      </c>
      <c r="L16">
        <v>2.5534423310787663E-8</v>
      </c>
      <c r="N16" s="5">
        <f t="shared" si="1"/>
        <v>-1.9095836023552692E-13</v>
      </c>
      <c r="O16" s="5">
        <f t="shared" si="2"/>
        <v>3.0126511890075092E-2</v>
      </c>
      <c r="P16" s="5">
        <f t="shared" si="3"/>
        <v>6.1486672218655442E-8</v>
      </c>
    </row>
    <row r="17" spans="1:16" x14ac:dyDescent="0.35">
      <c r="A17">
        <v>16</v>
      </c>
      <c r="B17" t="s">
        <v>82</v>
      </c>
      <c r="C17">
        <v>1.36464125555173</v>
      </c>
      <c r="D17">
        <v>0.80841644720232597</v>
      </c>
      <c r="E17">
        <v>9.1930659532992398E-2</v>
      </c>
      <c r="H17">
        <v>16</v>
      </c>
      <c r="I17" t="s">
        <v>82</v>
      </c>
      <c r="J17">
        <v>1.3646412555517462</v>
      </c>
      <c r="K17">
        <v>0.8019462764326315</v>
      </c>
      <c r="L17">
        <v>8.9344746086305382E-2</v>
      </c>
      <c r="N17" s="5">
        <f t="shared" si="1"/>
        <v>-1.6209256159527285E-14</v>
      </c>
      <c r="O17" s="5">
        <f t="shared" si="2"/>
        <v>6.4701707696944721E-3</v>
      </c>
      <c r="P17" s="5">
        <f t="shared" si="3"/>
        <v>2.5859134466870159E-3</v>
      </c>
    </row>
    <row r="18" spans="1:16" x14ac:dyDescent="0.35">
      <c r="A18">
        <v>17</v>
      </c>
      <c r="B18" t="s">
        <v>83</v>
      </c>
      <c r="C18">
        <v>-1.3843536114480199</v>
      </c>
      <c r="D18">
        <v>0.44824671522027998</v>
      </c>
      <c r="E18">
        <v>2.10698755713563E-3</v>
      </c>
      <c r="H18">
        <v>17</v>
      </c>
      <c r="I18" t="s">
        <v>83</v>
      </c>
      <c r="J18">
        <v>-1.3843536114479749</v>
      </c>
      <c r="K18">
        <v>0.45953184107483053</v>
      </c>
      <c r="L18">
        <v>2.7016320766574753E-3</v>
      </c>
      <c r="N18" s="5">
        <f t="shared" si="1"/>
        <v>-4.5075054799781356E-14</v>
      </c>
      <c r="O18" s="5">
        <f t="shared" si="2"/>
        <v>-1.1285125854550548E-2</v>
      </c>
      <c r="P18" s="5">
        <f t="shared" si="3"/>
        <v>-5.9464451952184532E-4</v>
      </c>
    </row>
    <row r="19" spans="1:16" x14ac:dyDescent="0.35">
      <c r="A19">
        <v>18</v>
      </c>
      <c r="B19" t="s">
        <v>84</v>
      </c>
      <c r="C19">
        <v>-3.83716604044066</v>
      </c>
      <c r="D19">
        <v>0.30597256478252099</v>
      </c>
      <c r="E19">
        <v>3.7254319121032602E-32</v>
      </c>
      <c r="H19">
        <v>18</v>
      </c>
      <c r="I19" t="s">
        <v>84</v>
      </c>
      <c r="J19">
        <v>-3.837166040440565</v>
      </c>
      <c r="K19">
        <v>0.30463545561472177</v>
      </c>
      <c r="L19">
        <v>2.1508675145665576E-32</v>
      </c>
      <c r="N19" s="5">
        <f t="shared" si="1"/>
        <v>-9.50350909079134E-14</v>
      </c>
      <c r="O19" s="5">
        <f t="shared" si="2"/>
        <v>1.337109167799222E-3</v>
      </c>
      <c r="P19" s="5">
        <f t="shared" si="3"/>
        <v>1.5745643975367026E-32</v>
      </c>
    </row>
    <row r="20" spans="1:16" x14ac:dyDescent="0.35">
      <c r="A20">
        <v>19</v>
      </c>
      <c r="B20" t="s">
        <v>85</v>
      </c>
      <c r="C20">
        <v>-3.46414385735793</v>
      </c>
      <c r="D20">
        <v>0.359139545098834</v>
      </c>
      <c r="E20">
        <v>1.5216955180660701E-20</v>
      </c>
      <c r="H20">
        <v>19</v>
      </c>
      <c r="I20" t="s">
        <v>85</v>
      </c>
      <c r="J20">
        <v>-3.4641438573577377</v>
      </c>
      <c r="K20">
        <v>0.35871234956673315</v>
      </c>
      <c r="L20">
        <v>1.3813327822517105E-20</v>
      </c>
      <c r="N20" s="5">
        <f t="shared" si="1"/>
        <v>-1.9229062786507711E-13</v>
      </c>
      <c r="O20" s="5">
        <f t="shared" si="2"/>
        <v>4.271955321008547E-4</v>
      </c>
      <c r="P20" s="5">
        <f t="shared" si="3"/>
        <v>1.4036273581435957E-21</v>
      </c>
    </row>
    <row r="21" spans="1:16" x14ac:dyDescent="0.35">
      <c r="A21">
        <v>20</v>
      </c>
      <c r="B21" t="s">
        <v>86</v>
      </c>
      <c r="C21">
        <v>-2.4528124289926398</v>
      </c>
      <c r="D21">
        <v>0.46565586960306699</v>
      </c>
      <c r="E21">
        <v>1.9405595883962099E-7</v>
      </c>
      <c r="H21">
        <v>20</v>
      </c>
      <c r="I21" t="s">
        <v>86</v>
      </c>
      <c r="J21">
        <v>-2.4528124289925901</v>
      </c>
      <c r="K21">
        <v>0.47394491447837006</v>
      </c>
      <c r="L21">
        <v>3.1222214787486029E-7</v>
      </c>
      <c r="N21" s="5">
        <f t="shared" si="1"/>
        <v>-4.9737991503207013E-14</v>
      </c>
      <c r="O21" s="5">
        <f t="shared" si="2"/>
        <v>-8.2890448753030754E-3</v>
      </c>
      <c r="P21" s="5">
        <f t="shared" si="3"/>
        <v>-1.181661890352393E-7</v>
      </c>
    </row>
    <row r="22" spans="1:16" x14ac:dyDescent="0.35">
      <c r="A22">
        <v>21</v>
      </c>
      <c r="B22" t="s">
        <v>87</v>
      </c>
      <c r="C22">
        <v>-2.0797902459099</v>
      </c>
      <c r="D22">
        <v>0.50219258392571997</v>
      </c>
      <c r="E22">
        <v>3.9548577168083903E-5</v>
      </c>
      <c r="H22">
        <v>21</v>
      </c>
      <c r="I22" t="s">
        <v>87</v>
      </c>
      <c r="J22">
        <v>-2.0797902459097628</v>
      </c>
      <c r="K22">
        <v>0.49426969062217457</v>
      </c>
      <c r="L22">
        <v>2.9794859086334978E-5</v>
      </c>
      <c r="N22" s="5">
        <f t="shared" si="1"/>
        <v>-1.3722356584366935E-13</v>
      </c>
      <c r="O22" s="5">
        <f t="shared" si="2"/>
        <v>7.9228933035453974E-3</v>
      </c>
      <c r="P22" s="5">
        <f t="shared" si="3"/>
        <v>9.7537180817489255E-6</v>
      </c>
    </row>
    <row r="23" spans="1:16" x14ac:dyDescent="0.35">
      <c r="A23">
        <v>22</v>
      </c>
      <c r="B23" t="s">
        <v>88</v>
      </c>
      <c r="C23">
        <v>0.37302218308273899</v>
      </c>
      <c r="D23">
        <v>0.38064614019298099</v>
      </c>
      <c r="E23">
        <v>0.327501406270296</v>
      </c>
      <c r="H23">
        <v>22</v>
      </c>
      <c r="I23" t="s">
        <v>88</v>
      </c>
      <c r="J23">
        <v>0.37302218308282731</v>
      </c>
      <c r="K23">
        <v>0.36850363350041082</v>
      </c>
      <c r="L23">
        <v>0.31182709147366661</v>
      </c>
      <c r="N23" s="5">
        <f t="shared" si="1"/>
        <v>-8.8318241608931203E-14</v>
      </c>
      <c r="O23" s="5">
        <f t="shared" si="2"/>
        <v>1.2142506692570165E-2</v>
      </c>
      <c r="P23" s="5">
        <f t="shared" si="3"/>
        <v>1.5674314796629396E-2</v>
      </c>
    </row>
    <row r="24" spans="1:16" x14ac:dyDescent="0.35">
      <c r="A24">
        <v>23</v>
      </c>
      <c r="B24" t="s">
        <v>89</v>
      </c>
      <c r="C24">
        <v>27.079475114321401</v>
      </c>
      <c r="D24">
        <v>0.94805530620951906</v>
      </c>
      <c r="E24">
        <v>2.47072790807063E-113</v>
      </c>
      <c r="H24">
        <v>23</v>
      </c>
      <c r="I24" t="s">
        <v>89</v>
      </c>
      <c r="J24">
        <v>-41.104241793237506</v>
      </c>
      <c r="K24">
        <v>1.8311945730561281</v>
      </c>
      <c r="L24">
        <v>3.6143520894755982E-81</v>
      </c>
      <c r="N24" s="6">
        <f t="shared" si="1"/>
        <v>68.183716907558903</v>
      </c>
      <c r="O24" s="6">
        <f t="shared" si="2"/>
        <v>-0.88313926684660904</v>
      </c>
      <c r="P24" s="6">
        <f t="shared" si="3"/>
        <v>-3.6143520894755982E-81</v>
      </c>
    </row>
    <row r="25" spans="1:16" x14ac:dyDescent="0.35">
      <c r="A25">
        <v>24</v>
      </c>
      <c r="B25" t="s">
        <v>90</v>
      </c>
      <c r="C25">
        <v>1.0560334762962</v>
      </c>
      <c r="D25">
        <v>0.99566730031387396</v>
      </c>
      <c r="E25">
        <v>0.289292580511324</v>
      </c>
      <c r="H25">
        <v>24</v>
      </c>
      <c r="I25" t="s">
        <v>90</v>
      </c>
      <c r="J25">
        <v>-5.2240299342030561</v>
      </c>
      <c r="K25">
        <v>2.5683523390225633</v>
      </c>
      <c r="L25">
        <v>4.2397609535298149E-2</v>
      </c>
      <c r="N25" s="6">
        <f t="shared" si="1"/>
        <v>6.2800634104992561</v>
      </c>
      <c r="O25" s="6">
        <f t="shared" si="2"/>
        <v>-1.5726850387086895</v>
      </c>
      <c r="P25" s="6">
        <f t="shared" si="3"/>
        <v>0.24689497097602586</v>
      </c>
    </row>
    <row r="26" spans="1:16" x14ac:dyDescent="0.35">
      <c r="A26">
        <v>25</v>
      </c>
      <c r="B26" t="s">
        <v>91</v>
      </c>
      <c r="C26">
        <v>-3.83716604044066</v>
      </c>
      <c r="D26">
        <v>0.30597256478252099</v>
      </c>
      <c r="E26">
        <v>3.7254319121032602E-32</v>
      </c>
      <c r="H26">
        <v>25</v>
      </c>
      <c r="I26" t="s">
        <v>91</v>
      </c>
      <c r="J26">
        <v>-3.837166040440565</v>
      </c>
      <c r="K26">
        <v>0.30463545561472177</v>
      </c>
      <c r="L26">
        <v>2.1508675145665576E-32</v>
      </c>
      <c r="N26" s="5">
        <f t="shared" si="1"/>
        <v>-9.50350909079134E-14</v>
      </c>
      <c r="O26" s="5">
        <f t="shared" si="2"/>
        <v>1.337109167799222E-3</v>
      </c>
      <c r="P26" s="5">
        <f t="shared" si="3"/>
        <v>1.5745643975367026E-32</v>
      </c>
    </row>
    <row r="27" spans="1:16" x14ac:dyDescent="0.35">
      <c r="A27">
        <v>26</v>
      </c>
      <c r="B27" t="s">
        <v>92</v>
      </c>
      <c r="E27">
        <v>0.45652787161390401</v>
      </c>
      <c r="H27">
        <v>26</v>
      </c>
      <c r="I27" t="s">
        <v>92</v>
      </c>
      <c r="J27">
        <v>1.132315911759274</v>
      </c>
      <c r="K27">
        <v>0.59678833539268727</v>
      </c>
      <c r="L27">
        <v>5.8268997082138466E-2</v>
      </c>
    </row>
    <row r="28" spans="1:16" x14ac:dyDescent="0.35">
      <c r="A28">
        <v>27</v>
      </c>
      <c r="B28" t="s">
        <v>93</v>
      </c>
      <c r="H28">
        <v>27</v>
      </c>
      <c r="I28" t="s">
        <v>93</v>
      </c>
      <c r="J28">
        <v>-3.2649278769285806</v>
      </c>
      <c r="K28">
        <v>0.44902551986244105</v>
      </c>
      <c r="L28">
        <v>1.1356949706985213E-12</v>
      </c>
    </row>
    <row r="29" spans="1:16" x14ac:dyDescent="0.35">
      <c r="A29">
        <v>28</v>
      </c>
      <c r="B29" t="s">
        <v>94</v>
      </c>
      <c r="H29">
        <v>28</v>
      </c>
      <c r="I29" t="s">
        <v>94</v>
      </c>
      <c r="J29">
        <v>-4.3972437886878541</v>
      </c>
      <c r="K29">
        <v>0.40467257353828573</v>
      </c>
      <c r="L29">
        <v>3.3606250444568591E-25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>
      <selection activeCell="K2" sqref="K2"/>
    </sheetView>
  </sheetViews>
  <sheetFormatPr defaultColWidth="10.90625" defaultRowHeight="14.5" x14ac:dyDescent="0.35"/>
  <cols>
    <col min="3" max="3" width="24.90625" customWidth="1"/>
    <col min="7" max="7" width="21.26953125" customWidth="1"/>
    <col min="8" max="8" width="18.1796875" customWidth="1"/>
    <col min="11" max="11" width="11.81640625" style="7" bestFit="1" customWidth="1"/>
  </cols>
  <sheetData>
    <row r="1" spans="1:11" x14ac:dyDescent="0.35">
      <c r="A1" t="s">
        <v>95</v>
      </c>
      <c r="B1" t="s">
        <v>1</v>
      </c>
      <c r="C1" t="s">
        <v>96</v>
      </c>
      <c r="D1" t="s">
        <v>97</v>
      </c>
      <c r="F1" t="s">
        <v>183</v>
      </c>
      <c r="G1" t="s">
        <v>124</v>
      </c>
      <c r="H1" t="s">
        <v>184</v>
      </c>
      <c r="I1" t="s">
        <v>185</v>
      </c>
      <c r="K1" s="7" t="s">
        <v>223</v>
      </c>
    </row>
    <row r="2" spans="1:11" x14ac:dyDescent="0.35">
      <c r="A2">
        <v>1</v>
      </c>
      <c r="B2" t="s">
        <v>98</v>
      </c>
      <c r="C2" t="s">
        <v>99</v>
      </c>
      <c r="D2">
        <v>2.5011752291578201E-52</v>
      </c>
      <c r="F2">
        <v>1</v>
      </c>
      <c r="G2" t="s">
        <v>98</v>
      </c>
      <c r="H2" t="s">
        <v>186</v>
      </c>
      <c r="I2">
        <v>2.5011516544316752E-52</v>
      </c>
      <c r="K2" s="7">
        <f>D2-I2</f>
        <v>2.35747261449302E-57</v>
      </c>
    </row>
    <row r="3" spans="1:11" x14ac:dyDescent="0.35">
      <c r="A3">
        <v>2</v>
      </c>
      <c r="B3" t="s">
        <v>4</v>
      </c>
      <c r="C3" t="s">
        <v>7</v>
      </c>
      <c r="F3">
        <v>2</v>
      </c>
      <c r="G3" t="s">
        <v>4</v>
      </c>
      <c r="H3" t="s">
        <v>187</v>
      </c>
    </row>
    <row r="4" spans="1:11" x14ac:dyDescent="0.35">
      <c r="A4">
        <v>3</v>
      </c>
      <c r="B4" t="s">
        <v>5</v>
      </c>
      <c r="C4" t="s">
        <v>100</v>
      </c>
      <c r="D4">
        <v>8.5567167200347103E-5</v>
      </c>
      <c r="F4">
        <v>3</v>
      </c>
      <c r="G4" t="s">
        <v>5</v>
      </c>
      <c r="H4" t="s">
        <v>188</v>
      </c>
      <c r="I4">
        <v>8.5566947044555747E-5</v>
      </c>
      <c r="K4" s="7">
        <f t="shared" ref="K3:K14" si="0">D4-I4</f>
        <v>2.2015579135658929E-10</v>
      </c>
    </row>
    <row r="5" spans="1:11" x14ac:dyDescent="0.35">
      <c r="A5">
        <v>4</v>
      </c>
      <c r="B5" t="s">
        <v>101</v>
      </c>
      <c r="C5" t="s">
        <v>7</v>
      </c>
      <c r="F5">
        <v>4</v>
      </c>
      <c r="G5" t="s">
        <v>101</v>
      </c>
      <c r="H5" t="s">
        <v>187</v>
      </c>
    </row>
    <row r="6" spans="1:11" x14ac:dyDescent="0.35">
      <c r="A6">
        <v>5</v>
      </c>
      <c r="B6" t="s">
        <v>102</v>
      </c>
      <c r="C6" t="s">
        <v>103</v>
      </c>
      <c r="D6">
        <v>8.2300079445377095E-2</v>
      </c>
      <c r="F6">
        <v>5</v>
      </c>
      <c r="G6" t="s">
        <v>102</v>
      </c>
      <c r="H6" t="s">
        <v>189</v>
      </c>
      <c r="I6">
        <v>8.2300046547902642E-2</v>
      </c>
      <c r="K6" s="7">
        <f t="shared" si="0"/>
        <v>3.289747445289759E-8</v>
      </c>
    </row>
    <row r="7" spans="1:11" x14ac:dyDescent="0.35">
      <c r="A7">
        <v>6</v>
      </c>
      <c r="B7" t="s">
        <v>104</v>
      </c>
      <c r="C7" t="s">
        <v>105</v>
      </c>
      <c r="D7">
        <v>9.0053518331500208E-6</v>
      </c>
      <c r="F7">
        <v>6</v>
      </c>
      <c r="G7" t="s">
        <v>104</v>
      </c>
      <c r="H7" t="s">
        <v>190</v>
      </c>
      <c r="I7">
        <v>9.0053460226164785E-6</v>
      </c>
      <c r="K7" s="7">
        <f t="shared" si="0"/>
        <v>5.8105335423535003E-12</v>
      </c>
    </row>
    <row r="8" spans="1:11" x14ac:dyDescent="0.35">
      <c r="A8">
        <v>7</v>
      </c>
      <c r="B8" t="s">
        <v>106</v>
      </c>
      <c r="C8" t="s">
        <v>107</v>
      </c>
      <c r="D8">
        <v>1.08813393964995E-13</v>
      </c>
      <c r="F8">
        <v>7</v>
      </c>
      <c r="G8" t="s">
        <v>106</v>
      </c>
      <c r="H8" t="s">
        <v>191</v>
      </c>
      <c r="I8">
        <v>1.0881327029284142E-13</v>
      </c>
      <c r="K8" s="7">
        <f t="shared" si="0"/>
        <v>1.2367215357589416E-19</v>
      </c>
    </row>
    <row r="9" spans="1:11" x14ac:dyDescent="0.35">
      <c r="A9">
        <v>8</v>
      </c>
      <c r="B9" t="s">
        <v>108</v>
      </c>
      <c r="C9" t="s">
        <v>109</v>
      </c>
      <c r="D9">
        <v>9.4609945935087995E-18</v>
      </c>
      <c r="F9">
        <v>8</v>
      </c>
      <c r="G9" t="s">
        <v>108</v>
      </c>
      <c r="H9" t="s">
        <v>192</v>
      </c>
      <c r="I9">
        <v>9.4609833778414132E-18</v>
      </c>
      <c r="K9" s="7">
        <f t="shared" si="0"/>
        <v>1.1215667386250501E-23</v>
      </c>
    </row>
    <row r="10" spans="1:11" x14ac:dyDescent="0.35">
      <c r="A10">
        <v>9</v>
      </c>
      <c r="B10" t="s">
        <v>110</v>
      </c>
      <c r="C10" t="s">
        <v>111</v>
      </c>
      <c r="D10">
        <v>2.2553405860254801E-19</v>
      </c>
      <c r="F10">
        <v>9</v>
      </c>
      <c r="G10" t="s">
        <v>110</v>
      </c>
      <c r="H10" t="s">
        <v>193</v>
      </c>
      <c r="I10">
        <v>2.2553387669051058E-19</v>
      </c>
      <c r="K10" s="7">
        <f t="shared" si="0"/>
        <v>1.8191203743434124E-25</v>
      </c>
    </row>
    <row r="11" spans="1:11" x14ac:dyDescent="0.35">
      <c r="A11">
        <v>10</v>
      </c>
      <c r="B11" t="s">
        <v>112</v>
      </c>
      <c r="C11" t="s">
        <v>7</v>
      </c>
      <c r="F11">
        <v>10</v>
      </c>
      <c r="G11" t="s">
        <v>112</v>
      </c>
      <c r="H11" t="s">
        <v>187</v>
      </c>
    </row>
    <row r="12" spans="1:11" x14ac:dyDescent="0.35">
      <c r="A12">
        <v>11</v>
      </c>
      <c r="B12" t="s">
        <v>113</v>
      </c>
      <c r="C12" t="s">
        <v>114</v>
      </c>
      <c r="D12">
        <v>0.25504990393964</v>
      </c>
      <c r="F12">
        <v>11</v>
      </c>
      <c r="G12" t="s">
        <v>113</v>
      </c>
      <c r="H12" t="s">
        <v>194</v>
      </c>
      <c r="I12">
        <v>0.25504994816662196</v>
      </c>
      <c r="K12" s="7">
        <f t="shared" si="0"/>
        <v>-4.4226981965600487E-8</v>
      </c>
    </row>
    <row r="13" spans="1:11" x14ac:dyDescent="0.35">
      <c r="A13">
        <v>12</v>
      </c>
      <c r="B13" t="s">
        <v>17</v>
      </c>
      <c r="C13" t="s">
        <v>115</v>
      </c>
      <c r="D13">
        <v>3.66729660612181E-9</v>
      </c>
      <c r="F13">
        <v>12</v>
      </c>
      <c r="G13" t="s">
        <v>17</v>
      </c>
      <c r="H13" t="s">
        <v>195</v>
      </c>
      <c r="I13">
        <v>3.6672208111105778E-9</v>
      </c>
      <c r="K13" s="7">
        <f t="shared" si="0"/>
        <v>7.5795011232127697E-14</v>
      </c>
    </row>
    <row r="14" spans="1:11" x14ac:dyDescent="0.35">
      <c r="A14">
        <v>13</v>
      </c>
      <c r="B14" t="s">
        <v>116</v>
      </c>
      <c r="C14" t="s">
        <v>117</v>
      </c>
      <c r="D14">
        <v>6.6268743862788804E-7</v>
      </c>
      <c r="F14">
        <v>13</v>
      </c>
      <c r="G14" t="s">
        <v>116</v>
      </c>
      <c r="H14" t="s">
        <v>196</v>
      </c>
      <c r="I14">
        <v>6.62674779515676E-7</v>
      </c>
      <c r="K14" s="7">
        <f t="shared" si="0"/>
        <v>1.2659112212035022E-11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"/>
  <sheetViews>
    <sheetView tabSelected="1" workbookViewId="0">
      <selection activeCell="K2" sqref="K2"/>
    </sheetView>
  </sheetViews>
  <sheetFormatPr defaultColWidth="10.90625" defaultRowHeight="14.5" x14ac:dyDescent="0.35"/>
  <cols>
    <col min="11" max="11" width="12.453125" bestFit="1" customWidth="1"/>
  </cols>
  <sheetData>
    <row r="1" spans="1:11" x14ac:dyDescent="0.35">
      <c r="A1" t="s">
        <v>62</v>
      </c>
      <c r="B1" t="s">
        <v>1</v>
      </c>
      <c r="C1" t="s">
        <v>118</v>
      </c>
      <c r="D1" t="s">
        <v>119</v>
      </c>
      <c r="F1" t="s">
        <v>178</v>
      </c>
      <c r="G1" t="s">
        <v>124</v>
      </c>
      <c r="H1" t="s">
        <v>197</v>
      </c>
      <c r="I1" t="s">
        <v>198</v>
      </c>
      <c r="K1" t="s">
        <v>224</v>
      </c>
    </row>
    <row r="2" spans="1:11" x14ac:dyDescent="0.35">
      <c r="A2">
        <v>1</v>
      </c>
      <c r="B2" t="s">
        <v>120</v>
      </c>
      <c r="C2">
        <v>609.367858260498</v>
      </c>
      <c r="D2">
        <v>1.04428696738451E-84</v>
      </c>
      <c r="F2" t="s">
        <v>120</v>
      </c>
      <c r="H2">
        <v>7341.7348652615401</v>
      </c>
      <c r="I2">
        <v>0</v>
      </c>
    </row>
    <row r="3" spans="1:11" x14ac:dyDescent="0.35">
      <c r="A3">
        <v>2</v>
      </c>
      <c r="B3" t="s">
        <v>121</v>
      </c>
      <c r="C3">
        <v>609.367858260498</v>
      </c>
      <c r="D3">
        <v>1.04428696738451E-84</v>
      </c>
      <c r="F3" t="s">
        <v>121</v>
      </c>
      <c r="H3">
        <v>609.36795627555261</v>
      </c>
      <c r="I3">
        <v>0</v>
      </c>
      <c r="K3" s="8">
        <f>C3-H3</f>
        <v>-9.8015054618372233E-5</v>
      </c>
    </row>
    <row r="4" spans="1:11" x14ac:dyDescent="0.35">
      <c r="A4">
        <v>3</v>
      </c>
      <c r="B4" t="s">
        <v>98</v>
      </c>
      <c r="C4">
        <v>284.00933105509398</v>
      </c>
      <c r="D4">
        <v>3.4150448017143401E-52</v>
      </c>
      <c r="F4" t="s">
        <v>98</v>
      </c>
      <c r="K4" s="8"/>
    </row>
    <row r="5" spans="1:11" x14ac:dyDescent="0.35">
      <c r="A5">
        <v>4</v>
      </c>
      <c r="B5" t="s">
        <v>3</v>
      </c>
      <c r="C5">
        <v>15.647724314963501</v>
      </c>
      <c r="D5">
        <v>8.5716309783574502E-5</v>
      </c>
      <c r="F5" t="s">
        <v>3</v>
      </c>
      <c r="H5">
        <v>15.64772930310906</v>
      </c>
      <c r="I5">
        <v>0</v>
      </c>
      <c r="K5" s="8">
        <f t="shared" ref="K4:K7" si="0">C5-H5</f>
        <v>-4.9881455588263179E-6</v>
      </c>
    </row>
    <row r="6" spans="1:11" x14ac:dyDescent="0.35">
      <c r="A6">
        <v>5</v>
      </c>
      <c r="B6" t="s">
        <v>6</v>
      </c>
      <c r="C6">
        <v>533.66424610795195</v>
      </c>
      <c r="D6">
        <v>7.2005117107450893E-80</v>
      </c>
      <c r="F6" t="s">
        <v>6</v>
      </c>
      <c r="H6">
        <v>533.66422878289859</v>
      </c>
      <c r="I6">
        <v>0</v>
      </c>
      <c r="K6" s="8">
        <f t="shared" si="0"/>
        <v>1.7325053363492771E-5</v>
      </c>
    </row>
    <row r="7" spans="1:11" x14ac:dyDescent="0.35">
      <c r="A7">
        <v>6</v>
      </c>
      <c r="B7" t="s">
        <v>122</v>
      </c>
      <c r="C7">
        <v>55.053560391260703</v>
      </c>
      <c r="D7">
        <v>2.1792749835742401E-11</v>
      </c>
      <c r="F7" t="s">
        <v>199</v>
      </c>
      <c r="H7">
        <v>55.053630780929055</v>
      </c>
      <c r="I7">
        <v>0</v>
      </c>
      <c r="K7" s="8">
        <f t="shared" si="0"/>
        <v>-7.0389668351822365E-5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TABLE1 split est &amp; 95%CI</vt:lpstr>
      <vt:lpstr>SS</vt:lpstr>
      <vt:lpstr>TABLE1</vt:lpstr>
      <vt:lpstr>T1_TEST</vt:lpstr>
      <vt:lpstr>TABLE2</vt:lpstr>
      <vt:lpstr>T2_GRAPH</vt:lpstr>
      <vt:lpstr>T1_TESTS</vt:lpstr>
      <vt:lpstr>OR_WITH_PVALUE</vt:lpstr>
      <vt:lpstr>OVERALL_MODEL_TESTS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Watson, Kathleen B. (Kathy) (CDC/NCCDPHP/DNPAO)</cp:lastModifiedBy>
  <dcterms:created xsi:type="dcterms:W3CDTF">2026-06-12T15:15:38Z</dcterms:created>
  <dcterms:modified xsi:type="dcterms:W3CDTF">2026-06-15T15:18:01Z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2026-06-15T13:56:15Z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4fc0dc06-d5a3-43dd-b4c6-e3c9bac26799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